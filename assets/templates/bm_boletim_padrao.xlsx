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MEDIÇÃO 40" sheetId="1" state="visible" r:id="rId1"/>
  </sheets>
  <definedNames/>
</workbook>
</file>

<file path=xl/styles.xml><?xml version="1.0" encoding="utf-8"?>
<styleSheet xmlns="http://schemas.openxmlformats.org/spreadsheetml/2006/main">
  <numFmts count="9">
    <numFmt numFmtId="164" formatCode="&quot;R$ &quot;#,##0.00"/>
    <numFmt numFmtId="165" formatCode="&quot;R$ &quot;#,##0.00;&quot;-R$ &quot;#,##0.00"/>
    <numFmt numFmtId="166" formatCode="&quot;R$&quot;#,##0.00"/>
    <numFmt numFmtId="167" formatCode="&quot; R$ &quot;* #,##0.00&quot; &quot;;&quot;-R$ &quot;* #,##0.00&quot; &quot;;&quot; R$ &quot;* &quot;-&quot;??&quot; &quot;"/>
    <numFmt numFmtId="168" formatCode="&quot; &quot;* #,##0&quot; &quot;;&quot;-&quot;* #,##0&quot; &quot;;&quot; &quot;* &quot;- &quot;"/>
    <numFmt numFmtId="169" formatCode="&quot; &quot;* #,##0.0&quot; &quot;;&quot; &quot;* (#,##0.0);&quot; &quot;* &quot;-&quot;??&quot; &quot;"/>
    <numFmt numFmtId="170" formatCode="&quot; &quot;* #,##0.00&quot; &quot;;&quot;-&quot;* #,##0.00&quot; &quot;;&quot; &quot;* &quot;-&quot;??&quot; &quot;"/>
    <numFmt numFmtId="171" formatCode="&quot; &quot;* #,##0.0&quot; &quot;;&quot;-&quot;* #,##0.0&quot; &quot;;&quot; &quot;* &quot;-&quot;?&quot; &quot;"/>
    <numFmt numFmtId="172" formatCode="&quot; &quot;* #,##0&quot; &quot;;&quot; &quot;* (#,##0);&quot; &quot;* &quot;-&quot;??&quot; &quot;"/>
  </numFmts>
  <fonts count="10">
    <font>
      <name val="Arial"/>
      <color indexed="8"/>
      <sz val="10"/>
    </font>
    <font>
      <name val="Arial"/>
      <color indexed="8"/>
      <sz val="14"/>
    </font>
    <font>
      <name val="Calibri"/>
      <color indexed="8"/>
      <sz val="15"/>
    </font>
    <font>
      <name val="Calibri"/>
      <color indexed="8"/>
      <sz val="52"/>
    </font>
    <font>
      <name val="Calibri"/>
      <b val="1"/>
      <color indexed="8"/>
      <sz val="52"/>
    </font>
    <font>
      <name val="Calibri"/>
      <b val="1"/>
      <color indexed="14"/>
      <sz val="52"/>
    </font>
    <font>
      <name val="Calibri"/>
      <b val="1"/>
      <color indexed="9"/>
      <sz val="52"/>
    </font>
    <font>
      <name val="Calibri"/>
      <color indexed="14"/>
      <sz val="52"/>
    </font>
    <font>
      <name val="Arial"/>
      <b val="1"/>
      <color indexed="8"/>
      <sz val="52"/>
    </font>
    <font>
      <name val="Arial"/>
      <color indexed="8"/>
      <sz val="52"/>
    </font>
  </fonts>
  <fills count="5">
    <fill>
      <patternFill/>
    </fill>
    <fill>
      <patternFill patternType="gray125"/>
    </fill>
    <fill>
      <patternFill patternType="solid">
        <fgColor indexed="9"/>
        <bgColor auto="1"/>
      </patternFill>
    </fill>
    <fill>
      <patternFill patternType="solid">
        <fgColor indexed="15"/>
        <bgColor auto="1"/>
      </patternFill>
    </fill>
    <fill>
      <patternFill patternType="solid">
        <fgColor indexed="16"/>
        <bgColor auto="1"/>
      </patternFill>
    </fill>
  </fills>
  <borders count="2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top style="thin">
        <color indexed="8"/>
      </top>
      <bottom style="thin">
        <color indexed="8"/>
      </bottom>
      <diagonal/>
    </border>
    <border>
      <left/>
      <right style="thin">
        <color indexed="13"/>
      </right>
      <top style="thin">
        <color indexed="13"/>
      </top>
      <bottom style="thin">
        <color indexed="13"/>
      </bottom>
      <diagonal/>
    </border>
    <border>
      <left style="medium">
        <color indexed="8"/>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13"/>
      </right>
      <top style="thin">
        <color indexed="8"/>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thin">
        <color indexed="8"/>
      </top>
      <bottom/>
      <diagonal/>
    </border>
    <border>
      <left/>
      <right style="thin">
        <color indexed="8"/>
      </right>
      <top style="thin">
        <color indexed="8"/>
      </top>
      <bottom/>
      <diagonal/>
    </border>
    <border>
      <left/>
      <right style="thin">
        <color indexed="8"/>
      </right>
      <top style="thin">
        <color indexed="8"/>
      </top>
      <bottom style="medium">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s>
  <cellStyleXfs count="1">
    <xf numFmtId="0" fontId="0" fillId="0" borderId="0" applyAlignment="1">
      <alignment vertical="bottom"/>
    </xf>
  </cellStyleXfs>
  <cellXfs count="150">
    <xf numFmtId="0" fontId="0" fillId="0" borderId="0" applyAlignment="1" pivotButton="0" quotePrefix="0" xfId="0">
      <alignment vertical="bottom"/>
    </xf>
    <xf numFmtId="0" fontId="0" fillId="0" borderId="0" applyAlignment="1" pivotButton="0" quotePrefix="0" xfId="0">
      <alignment vertical="bottom"/>
    </xf>
    <xf numFmtId="0" fontId="3" fillId="2" borderId="1" applyAlignment="1" pivotButton="0" quotePrefix="0" xfId="0">
      <alignment horizontal="center" vertical="center"/>
    </xf>
    <xf numFmtId="49" fontId="4" fillId="2" borderId="1" applyAlignment="1" pivotButton="0" quotePrefix="0" xfId="0">
      <alignment horizontal="center" vertical="bottom" wrapText="1"/>
    </xf>
    <xf numFmtId="0" fontId="4" fillId="2" borderId="1" applyAlignment="1" pivotButton="0" quotePrefix="0" xfId="0">
      <alignment horizontal="center" vertical="bottom"/>
    </xf>
    <xf numFmtId="0" fontId="4" fillId="2" borderId="1" applyAlignment="1" pivotButton="0" quotePrefix="0" xfId="0">
      <alignment horizontal="center" vertical="center"/>
    </xf>
    <xf numFmtId="0" fontId="0" fillId="2" borderId="2" applyAlignment="1" pivotButton="0" quotePrefix="0" xfId="0">
      <alignment vertical="bottom"/>
    </xf>
    <xf numFmtId="0" fontId="0" fillId="2" borderId="3" applyAlignment="1" pivotButton="0" quotePrefix="0" xfId="0">
      <alignment vertical="bottom"/>
    </xf>
    <xf numFmtId="49" fontId="4" fillId="2" borderId="1" applyAlignment="1" pivotButton="0" quotePrefix="0" xfId="0">
      <alignment horizontal="center" vertical="center" wrapText="1"/>
    </xf>
    <xf numFmtId="49" fontId="4" fillId="2" borderId="1" applyAlignment="1" pivotButton="0" quotePrefix="0" xfId="0">
      <alignment horizontal="center" vertical="bottom"/>
    </xf>
    <xf numFmtId="0" fontId="4" fillId="2" borderId="1" applyAlignment="1" pivotButton="0" quotePrefix="0" xfId="0">
      <alignment horizontal="center" vertical="center" wrapText="1"/>
    </xf>
    <xf numFmtId="49" fontId="3" fillId="2" borderId="1" applyAlignment="1" pivotButton="0" quotePrefix="0" xfId="0">
      <alignment horizontal="center" vertical="center"/>
    </xf>
    <xf numFmtId="49" fontId="3" fillId="2" borderId="1" applyAlignment="1" pivotButton="0" quotePrefix="0" xfId="0">
      <alignment horizontal="center" vertical="center" wrapText="1"/>
    </xf>
    <xf numFmtId="49" fontId="3" fillId="2" borderId="1" applyAlignment="1" pivotButton="0" quotePrefix="0" xfId="0">
      <alignment horizontal="left" vertical="bottom"/>
    </xf>
    <xf numFmtId="0" fontId="3" fillId="2" borderId="1" applyAlignment="1" pivotButton="0" quotePrefix="0" xfId="0">
      <alignment horizontal="left" vertical="bottom"/>
    </xf>
    <xf numFmtId="0" fontId="3" fillId="2" borderId="1" applyAlignment="1" pivotButton="0" quotePrefix="0" xfId="0">
      <alignment horizontal="left" vertical="center"/>
    </xf>
    <xf numFmtId="49" fontId="3" fillId="2" borderId="1" applyAlignment="1" pivotButton="0" quotePrefix="0" xfId="0">
      <alignment horizontal="center" vertical="bottom"/>
    </xf>
    <xf numFmtId="0" fontId="3" fillId="2" borderId="1" applyAlignment="1" pivotButton="0" quotePrefix="0" xfId="0">
      <alignment horizontal="center" vertical="bottom"/>
    </xf>
    <xf numFmtId="0" fontId="3" fillId="2" borderId="1" applyAlignment="1" pivotButton="0" quotePrefix="0" xfId="0">
      <alignment horizontal="center" vertical="center" wrapText="1"/>
    </xf>
    <xf numFmtId="14" fontId="4" fillId="2" borderId="1" applyAlignment="1" pivotButton="0" quotePrefix="0" xfId="0">
      <alignment horizontal="center" vertical="center"/>
    </xf>
    <xf numFmtId="49" fontId="4" fillId="2" borderId="1" applyAlignment="1" pivotButton="0" quotePrefix="0" xfId="0">
      <alignment horizontal="left" vertical="bottom"/>
    </xf>
    <xf numFmtId="0" fontId="4" fillId="2" borderId="1" applyAlignment="1" pivotButton="0" quotePrefix="0" xfId="0">
      <alignment horizontal="left" vertical="bottom"/>
    </xf>
    <xf numFmtId="0" fontId="4" fillId="2" borderId="1" applyAlignment="1" pivotButton="0" quotePrefix="0" xfId="0">
      <alignment horizontal="left" vertical="center"/>
    </xf>
    <xf numFmtId="14" fontId="4" fillId="2" borderId="1" applyAlignment="1" pivotButton="0" quotePrefix="0" xfId="0">
      <alignment horizontal="center" vertical="center" wrapText="1"/>
    </xf>
    <xf numFmtId="164" fontId="4" fillId="2" borderId="1" applyAlignment="1" pivotButton="0" quotePrefix="0" xfId="0">
      <alignment horizontal="center" vertical="bottom"/>
    </xf>
    <xf numFmtId="164" fontId="4" fillId="2" borderId="1" applyAlignment="1" pivotButton="0" quotePrefix="0" xfId="0">
      <alignment horizontal="center" vertical="center"/>
    </xf>
    <xf numFmtId="49" fontId="4" fillId="2" borderId="1" applyAlignment="1" pivotButton="0" quotePrefix="0" xfId="0">
      <alignment horizontal="left" vertical="center" wrapText="1"/>
    </xf>
    <xf numFmtId="0" fontId="4" fillId="2" borderId="1" applyAlignment="1" pivotButton="0" quotePrefix="0" xfId="0">
      <alignment horizontal="left" vertical="center" wrapText="1"/>
    </xf>
    <xf numFmtId="165" fontId="4" fillId="2" borderId="1" applyAlignment="1" pivotButton="0" quotePrefix="0" xfId="0">
      <alignment horizontal="center" vertical="bottom" wrapText="1"/>
    </xf>
    <xf numFmtId="164" fontId="0" fillId="2" borderId="3" applyAlignment="1" pivotButton="0" quotePrefix="0" xfId="0">
      <alignment vertical="bottom"/>
    </xf>
    <xf numFmtId="49" fontId="4" fillId="3" borderId="1" applyAlignment="1" pivotButton="0" quotePrefix="0" xfId="0">
      <alignment horizontal="center" vertical="center" wrapText="1"/>
    </xf>
    <xf numFmtId="49" fontId="5" fillId="3" borderId="1" applyAlignment="1" pivotButton="0" quotePrefix="0" xfId="0">
      <alignment horizontal="center" vertical="center" wrapText="1"/>
    </xf>
    <xf numFmtId="0" fontId="4" fillId="3" borderId="1" applyAlignment="1" pivotButton="0" quotePrefix="0" xfId="0">
      <alignment horizontal="center" vertical="center" wrapText="1"/>
    </xf>
    <xf numFmtId="166" fontId="4" fillId="3" borderId="1" applyAlignment="1" pivotButton="0" quotePrefix="0" xfId="0">
      <alignment horizontal="center" vertical="center" wrapText="1"/>
    </xf>
    <xf numFmtId="166" fontId="5" fillId="3" borderId="1" applyAlignment="1" pivotButton="0" quotePrefix="0" xfId="0">
      <alignment horizontal="center" vertical="center" wrapText="1"/>
    </xf>
    <xf numFmtId="49" fontId="4" fillId="3" borderId="4" applyAlignment="1" pivotButton="0" quotePrefix="0" xfId="0">
      <alignment horizontal="center" vertical="center" wrapText="1"/>
    </xf>
    <xf numFmtId="0" fontId="0" fillId="2" borderId="5" applyAlignment="1" pivotButton="0" quotePrefix="0" xfId="0">
      <alignment vertical="bottom"/>
    </xf>
    <xf numFmtId="49" fontId="4" fillId="4" borderId="6" applyAlignment="1" pivotButton="0" quotePrefix="0" xfId="0">
      <alignment horizontal="center" vertical="center" wrapText="1"/>
    </xf>
    <xf numFmtId="49" fontId="4" fillId="4" borderId="1" applyAlignment="1" pivotButton="0" quotePrefix="0" xfId="0">
      <alignment horizontal="left" vertical="top" wrapText="1"/>
    </xf>
    <xf numFmtId="167" fontId="6" fillId="4" borderId="1" applyAlignment="1" pivotButton="0" quotePrefix="0" xfId="0">
      <alignment horizontal="center" vertical="top" wrapText="1"/>
    </xf>
    <xf numFmtId="0" fontId="6" fillId="4" borderId="1" applyAlignment="1" pivotButton="0" quotePrefix="0" xfId="0">
      <alignment horizontal="center" vertical="center" wrapText="1"/>
    </xf>
    <xf numFmtId="0" fontId="6" fillId="4" borderId="1" applyAlignment="1" pivotButton="0" quotePrefix="0" xfId="0">
      <alignment vertical="center" wrapText="1"/>
    </xf>
    <xf numFmtId="0" fontId="5" fillId="4" borderId="1" applyAlignment="1" pivotButton="0" quotePrefix="0" xfId="0">
      <alignment vertical="center" wrapText="1"/>
    </xf>
    <xf numFmtId="0" fontId="6" fillId="4" borderId="4" applyAlignment="1" pivotButton="0" quotePrefix="0" xfId="0">
      <alignment horizontal="center" vertical="center" wrapText="1"/>
    </xf>
    <xf numFmtId="49" fontId="0" fillId="2" borderId="1" applyAlignment="1" pivotButton="0" quotePrefix="0" xfId="0">
      <alignment vertical="center" wrapText="1"/>
    </xf>
    <xf numFmtId="2" fontId="3" fillId="2" borderId="1" applyAlignment="1" pivotButton="0" quotePrefix="0" xfId="0">
      <alignment horizontal="center" vertical="center" wrapText="1"/>
    </xf>
    <xf numFmtId="2" fontId="4" fillId="2" borderId="1" applyAlignment="1" pivotButton="0" quotePrefix="0" xfId="0">
      <alignment horizontal="center" vertical="center" wrapText="1"/>
    </xf>
    <xf numFmtId="167" fontId="0" fillId="2" borderId="1" applyAlignment="1" pivotButton="0" quotePrefix="0" xfId="0">
      <alignment vertical="center" wrapText="1"/>
    </xf>
    <xf numFmtId="168" fontId="7" fillId="2" borderId="1" applyAlignment="1" pivotButton="0" quotePrefix="0" xfId="0">
      <alignment vertical="center" wrapText="1"/>
    </xf>
    <xf numFmtId="169" fontId="7" fillId="2" borderId="1" applyAlignment="1" pivotButton="0" quotePrefix="0" xfId="0">
      <alignment horizontal="center" vertical="center" wrapText="1"/>
    </xf>
    <xf numFmtId="170" fontId="7" fillId="2" borderId="1" applyAlignment="1" pivotButton="0" quotePrefix="0" xfId="0">
      <alignment vertical="center" wrapText="1"/>
    </xf>
    <xf numFmtId="169" fontId="3" fillId="2" borderId="1" applyAlignment="1" pivotButton="0" quotePrefix="0" xfId="0">
      <alignment horizontal="center" vertical="center" wrapText="1"/>
    </xf>
    <xf numFmtId="169" fontId="0" fillId="2" borderId="1" applyAlignment="1" pivotButton="0" quotePrefix="0" xfId="0">
      <alignment vertical="center" wrapText="1"/>
    </xf>
    <xf numFmtId="167" fontId="3" fillId="2" borderId="1" applyAlignment="1" pivotButton="0" quotePrefix="0" xfId="0">
      <alignment horizontal="center" vertical="center" wrapText="1"/>
    </xf>
    <xf numFmtId="10" fontId="3" fillId="2" borderId="7" applyAlignment="1" pivotButton="0" quotePrefix="0" xfId="0">
      <alignment horizontal="center" vertical="center" wrapText="1"/>
    </xf>
    <xf numFmtId="167" fontId="4" fillId="4" borderId="1" applyAlignment="1" pivotButton="0" quotePrefix="0" xfId="0">
      <alignment horizontal="center" vertical="top"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168" fontId="4" fillId="4" borderId="1" applyAlignment="1" pivotButton="0" quotePrefix="0" xfId="0">
      <alignment vertical="center" wrapText="1"/>
    </xf>
    <xf numFmtId="170" fontId="4" fillId="4" borderId="1" applyAlignment="1" pivotButton="0" quotePrefix="0" xfId="0">
      <alignment vertical="center" wrapText="1"/>
    </xf>
    <xf numFmtId="0" fontId="5" fillId="4" borderId="1" applyAlignment="1" pivotButton="0" quotePrefix="0" xfId="0">
      <alignment horizontal="center" vertical="center" wrapText="1"/>
    </xf>
    <xf numFmtId="167" fontId="4" fillId="4" borderId="1" applyAlignment="1" pivotButton="0" quotePrefix="0" xfId="0">
      <alignment horizontal="center" vertical="center" wrapText="1"/>
    </xf>
    <xf numFmtId="0" fontId="4" fillId="4" borderId="4" applyAlignment="1" pivotButton="0" quotePrefix="0" xfId="0">
      <alignment horizontal="center" vertical="center" wrapText="1"/>
    </xf>
    <xf numFmtId="165" fontId="0" fillId="2" borderId="3" applyAlignment="1" pivotButton="0" quotePrefix="0" xfId="0">
      <alignment vertical="bottom"/>
    </xf>
    <xf numFmtId="167" fontId="0" fillId="2" borderId="3" applyAlignment="1" pivotButton="0" quotePrefix="0" xfId="0">
      <alignment vertical="bottom"/>
    </xf>
    <xf numFmtId="49" fontId="4" fillId="4" borderId="1" applyAlignment="1" pivotButton="0" quotePrefix="0" xfId="0">
      <alignment horizontal="center" vertical="center" wrapText="1"/>
    </xf>
    <xf numFmtId="1" fontId="4" fillId="4" borderId="1" applyAlignment="1" pivotButton="0" quotePrefix="0" xfId="0">
      <alignment horizontal="center" vertical="center" wrapText="1"/>
    </xf>
    <xf numFmtId="1" fontId="4" fillId="4" borderId="4" applyAlignment="1" pivotButton="0" quotePrefix="0" xfId="0">
      <alignment horizontal="center" vertical="center" wrapText="1"/>
    </xf>
    <xf numFmtId="3" fontId="0" fillId="2" borderId="1" applyAlignment="1" pivotButton="0" quotePrefix="0" xfId="0">
      <alignment vertical="center" wrapText="1"/>
    </xf>
    <xf numFmtId="49" fontId="3" fillId="2" borderId="1" applyAlignment="1" pivotButton="0" quotePrefix="0" xfId="0">
      <alignment horizontal="left" vertical="center" wrapText="1"/>
    </xf>
    <xf numFmtId="171" fontId="4" fillId="4" borderId="1" applyAlignment="1" pivotButton="0" quotePrefix="0" xfId="0">
      <alignment horizontal="center" vertical="center" wrapText="1"/>
    </xf>
    <xf numFmtId="49" fontId="8" fillId="4" borderId="6" applyAlignment="1" pivotButton="0" quotePrefix="0" xfId="0">
      <alignment horizontal="center" vertical="center"/>
    </xf>
    <xf numFmtId="49" fontId="8" fillId="4" borderId="1" applyAlignment="1" pivotButton="0" quotePrefix="0" xfId="0">
      <alignment vertical="center" wrapText="1"/>
    </xf>
    <xf numFmtId="167" fontId="0" fillId="4" borderId="1" applyAlignment="1" pivotButton="0" quotePrefix="0" xfId="0">
      <alignment vertical="center" wrapText="1"/>
    </xf>
    <xf numFmtId="2" fontId="3" fillId="4" borderId="1" applyAlignment="1" pivotButton="0" quotePrefix="0" xfId="0">
      <alignment horizontal="center" vertical="center" wrapText="1"/>
    </xf>
    <xf numFmtId="168" fontId="7" fillId="4" borderId="1" applyAlignment="1" pivotButton="0" quotePrefix="0" xfId="0">
      <alignment vertical="center" wrapText="1"/>
    </xf>
    <xf numFmtId="169" fontId="7" fillId="4" borderId="1" applyAlignment="1" pivotButton="0" quotePrefix="0" xfId="0">
      <alignment horizontal="center" vertical="center" wrapText="1"/>
    </xf>
    <xf numFmtId="170" fontId="7" fillId="4" borderId="1" applyAlignment="1" pivotButton="0" quotePrefix="0" xfId="0">
      <alignment vertical="center" wrapText="1"/>
    </xf>
    <xf numFmtId="170" fontId="7" fillId="4" borderId="4" applyAlignment="1" pivotButton="0" quotePrefix="0" xfId="0">
      <alignment vertical="center" wrapText="1"/>
    </xf>
    <xf numFmtId="49" fontId="9" fillId="2" borderId="1" applyAlignment="1" pivotButton="0" quotePrefix="0" xfId="0">
      <alignment horizontal="center" vertical="center"/>
    </xf>
    <xf numFmtId="49" fontId="9" fillId="2" borderId="1" applyAlignment="1" pivotButton="0" quotePrefix="0" xfId="0">
      <alignment vertical="center" wrapText="1"/>
    </xf>
    <xf numFmtId="49" fontId="4" fillId="2" borderId="8" applyAlignment="1" pivotButton="0" quotePrefix="0" xfId="0">
      <alignment horizontal="center" vertical="center" wrapText="1"/>
    </xf>
    <xf numFmtId="0" fontId="4" fillId="2" borderId="9" applyAlignment="1" pivotButton="0" quotePrefix="0" xfId="0">
      <alignment horizontal="center" vertical="center" wrapText="1"/>
    </xf>
    <xf numFmtId="167" fontId="0" fillId="2" borderId="9" applyAlignment="1" pivotButton="0" quotePrefix="0" xfId="0">
      <alignment vertical="bottom" wrapText="1"/>
    </xf>
    <xf numFmtId="167" fontId="0" fillId="2" borderId="9" applyAlignment="1" pivotButton="0" quotePrefix="0" xfId="0">
      <alignment vertical="center" wrapText="1"/>
    </xf>
    <xf numFmtId="168" fontId="0" fillId="2" borderId="9" applyAlignment="1" pivotButton="0" quotePrefix="0" xfId="0">
      <alignment vertical="center" wrapText="1"/>
    </xf>
    <xf numFmtId="172" fontId="3" fillId="2" borderId="9" applyAlignment="1" pivotButton="0" quotePrefix="0" xfId="0">
      <alignment horizontal="center" vertical="bottom" wrapText="1"/>
    </xf>
    <xf numFmtId="170" fontId="0" fillId="2" borderId="9" applyAlignment="1" pivotButton="0" quotePrefix="0" xfId="0">
      <alignment vertical="center" wrapText="1"/>
    </xf>
    <xf numFmtId="169" fontId="3" fillId="2" borderId="9" applyAlignment="1" pivotButton="0" quotePrefix="0" xfId="0">
      <alignment horizontal="center" vertical="center" wrapText="1"/>
    </xf>
    <xf numFmtId="172" fontId="0" fillId="2" borderId="9" applyAlignment="1" pivotButton="0" quotePrefix="0" xfId="0">
      <alignment vertical="bottom" wrapText="1"/>
    </xf>
    <xf numFmtId="167" fontId="3" fillId="2" borderId="9" applyAlignment="1" pivotButton="0" quotePrefix="0" xfId="0">
      <alignment vertical="bottom" wrapText="1"/>
    </xf>
    <xf numFmtId="167" fontId="4" fillId="2" borderId="9" applyAlignment="1" pivotButton="0" quotePrefix="0" xfId="0">
      <alignment vertical="center" wrapText="1"/>
    </xf>
    <xf numFmtId="0" fontId="0" fillId="2" borderId="9" applyAlignment="1" pivotButton="0" quotePrefix="0" xfId="0">
      <alignment vertical="bottom" wrapText="1"/>
    </xf>
    <xf numFmtId="0" fontId="0" fillId="2" borderId="10" applyAlignment="1" pivotButton="0" quotePrefix="0" xfId="0">
      <alignment vertical="bottom" wrapText="1"/>
    </xf>
    <xf numFmtId="0" fontId="0" fillId="2" borderId="11" applyAlignment="1" pivotButton="0" quotePrefix="0" xfId="0">
      <alignment vertical="center"/>
    </xf>
    <xf numFmtId="0" fontId="0" fillId="2" borderId="11" applyAlignment="1" pivotButton="0" quotePrefix="0" xfId="0">
      <alignment vertical="bottom" wrapText="1"/>
    </xf>
    <xf numFmtId="0" fontId="0" fillId="2" borderId="11" applyAlignment="1" pivotButton="0" quotePrefix="0" xfId="0">
      <alignment vertical="bottom"/>
    </xf>
    <xf numFmtId="0" fontId="0" fillId="2" borderId="12" applyAlignment="1" pivotButton="0" quotePrefix="0" xfId="0">
      <alignment vertical="center"/>
    </xf>
    <xf numFmtId="0" fontId="0" fillId="2" borderId="12" applyAlignment="1" pivotButton="0" quotePrefix="0" xfId="0">
      <alignment vertical="bottom" wrapText="1"/>
    </xf>
    <xf numFmtId="0" fontId="0" fillId="2" borderId="12" applyAlignment="1" pivotButton="0" quotePrefix="0" xfId="0">
      <alignment vertical="bottom"/>
    </xf>
    <xf numFmtId="49" fontId="4" fillId="4" borderId="13" applyAlignment="1" pivotButton="0" quotePrefix="0" xfId="0">
      <alignment horizontal="center" vertical="bottom"/>
    </xf>
    <xf numFmtId="49" fontId="5" fillId="4" borderId="13" applyAlignment="1" pivotButton="0" quotePrefix="0" xfId="0">
      <alignment horizontal="center" vertical="bottom"/>
    </xf>
    <xf numFmtId="0" fontId="5" fillId="4" borderId="13" applyAlignment="1" pivotButton="0" quotePrefix="0" xfId="0">
      <alignment horizontal="center" vertical="bottom"/>
    </xf>
    <xf numFmtId="49" fontId="5" fillId="4" borderId="14" applyAlignment="1" pivotButton="0" quotePrefix="0" xfId="0">
      <alignment horizontal="center" vertical="bottom"/>
    </xf>
    <xf numFmtId="0" fontId="0" fillId="0" borderId="0" pivotButton="0" quotePrefix="0" xfId="0"/>
    <xf numFmtId="0" fontId="0" fillId="0" borderId="18" pivotButton="0" quotePrefix="0" xfId="0"/>
    <xf numFmtId="0" fontId="0" fillId="0" borderId="19" pivotButton="0" quotePrefix="0" xfId="0"/>
    <xf numFmtId="0" fontId="0" fillId="0" borderId="21"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4" pivotButton="0" quotePrefix="0" xfId="0"/>
    <xf numFmtId="0" fontId="0" fillId="0" borderId="25" pivotButton="0" quotePrefix="0" xfId="0"/>
    <xf numFmtId="0" fontId="0" fillId="0" borderId="26" pivotButton="0" quotePrefix="0" xfId="0"/>
    <xf numFmtId="164" fontId="4" fillId="2" borderId="1" applyAlignment="1" pivotButton="0" quotePrefix="0" xfId="0">
      <alignment horizontal="center" vertical="bottom"/>
    </xf>
    <xf numFmtId="164" fontId="4" fillId="2" borderId="1" applyAlignment="1" pivotButton="0" quotePrefix="0" xfId="0">
      <alignment horizontal="center" vertical="center"/>
    </xf>
    <xf numFmtId="0" fontId="0" fillId="0" borderId="20" pivotButton="0" quotePrefix="0" xfId="0"/>
    <xf numFmtId="0" fontId="0" fillId="0" borderId="23" pivotButton="0" quotePrefix="0" xfId="0"/>
    <xf numFmtId="165" fontId="4" fillId="2" borderId="1" applyAlignment="1" pivotButton="0" quotePrefix="0" xfId="0">
      <alignment horizontal="center" vertical="bottom" wrapText="1"/>
    </xf>
    <xf numFmtId="164" fontId="0" fillId="2" borderId="3" applyAlignment="1" pivotButton="0" quotePrefix="0" xfId="0">
      <alignment vertical="bottom"/>
    </xf>
    <xf numFmtId="167" fontId="6" fillId="4" borderId="1" applyAlignment="1" pivotButton="0" quotePrefix="0" xfId="0">
      <alignment horizontal="center" vertical="top" wrapText="1"/>
    </xf>
    <xf numFmtId="167" fontId="0" fillId="2" borderId="1" applyAlignment="1" pivotButton="0" quotePrefix="0" xfId="0">
      <alignment vertical="center" wrapText="1"/>
    </xf>
    <xf numFmtId="168" fontId="7" fillId="2" borderId="1" applyAlignment="1" pivotButton="0" quotePrefix="0" xfId="0">
      <alignment vertical="center" wrapText="1"/>
    </xf>
    <xf numFmtId="169" fontId="7" fillId="2" borderId="1" applyAlignment="1" pivotButton="0" quotePrefix="0" xfId="0">
      <alignment horizontal="center" vertical="center" wrapText="1"/>
    </xf>
    <xf numFmtId="170" fontId="7" fillId="2" borderId="1" applyAlignment="1" pivotButton="0" quotePrefix="0" xfId="0">
      <alignment vertical="center" wrapText="1"/>
    </xf>
    <xf numFmtId="169" fontId="3" fillId="2" borderId="1" applyAlignment="1" pivotButton="0" quotePrefix="0" xfId="0">
      <alignment horizontal="center" vertical="center" wrapText="1"/>
    </xf>
    <xf numFmtId="169" fontId="0" fillId="2" borderId="1" applyAlignment="1" pivotButton="0" quotePrefix="0" xfId="0">
      <alignment vertical="center" wrapText="1"/>
    </xf>
    <xf numFmtId="167" fontId="3" fillId="2" borderId="1" applyAlignment="1" pivotButton="0" quotePrefix="0" xfId="0">
      <alignment horizontal="center" vertical="center" wrapText="1"/>
    </xf>
    <xf numFmtId="167" fontId="4" fillId="4" borderId="1" applyAlignment="1" pivotButton="0" quotePrefix="0" xfId="0">
      <alignment horizontal="center" vertical="top" wrapText="1"/>
    </xf>
    <xf numFmtId="168" fontId="4" fillId="4" borderId="1" applyAlignment="1" pivotButton="0" quotePrefix="0" xfId="0">
      <alignment vertical="center" wrapText="1"/>
    </xf>
    <xf numFmtId="170" fontId="4" fillId="4" borderId="1" applyAlignment="1" pivotButton="0" quotePrefix="0" xfId="0">
      <alignment vertical="center" wrapText="1"/>
    </xf>
    <xf numFmtId="167" fontId="4" fillId="4" borderId="1" applyAlignment="1" pivotButton="0" quotePrefix="0" xfId="0">
      <alignment horizontal="center" vertical="center" wrapText="1"/>
    </xf>
    <xf numFmtId="165" fontId="0" fillId="2" borderId="3" applyAlignment="1" pivotButton="0" quotePrefix="0" xfId="0">
      <alignment vertical="bottom"/>
    </xf>
    <xf numFmtId="167" fontId="0" fillId="2" borderId="3" applyAlignment="1" pivotButton="0" quotePrefix="0" xfId="0">
      <alignment vertical="bottom"/>
    </xf>
    <xf numFmtId="171" fontId="4" fillId="4" borderId="1" applyAlignment="1" pivotButton="0" quotePrefix="0" xfId="0">
      <alignment horizontal="center" vertical="center" wrapText="1"/>
    </xf>
    <xf numFmtId="167" fontId="0" fillId="4" borderId="1" applyAlignment="1" pivotButton="0" quotePrefix="0" xfId="0">
      <alignment vertical="center" wrapText="1"/>
    </xf>
    <xf numFmtId="168" fontId="7" fillId="4" borderId="1" applyAlignment="1" pivotButton="0" quotePrefix="0" xfId="0">
      <alignment vertical="center" wrapText="1"/>
    </xf>
    <xf numFmtId="169" fontId="7" fillId="4" borderId="1" applyAlignment="1" pivotButton="0" quotePrefix="0" xfId="0">
      <alignment horizontal="center" vertical="center" wrapText="1"/>
    </xf>
    <xf numFmtId="170" fontId="7" fillId="4" borderId="1" applyAlignment="1" pivotButton="0" quotePrefix="0" xfId="0">
      <alignment vertical="center" wrapText="1"/>
    </xf>
    <xf numFmtId="170" fontId="7" fillId="4" borderId="4" applyAlignment="1" pivotButton="0" quotePrefix="0" xfId="0">
      <alignment vertical="center" wrapText="1"/>
    </xf>
    <xf numFmtId="0" fontId="0" fillId="0" borderId="17" pivotButton="0" quotePrefix="0" xfId="0"/>
    <xf numFmtId="167" fontId="0" fillId="2" borderId="9" applyAlignment="1" pivotButton="0" quotePrefix="0" xfId="0">
      <alignment vertical="bottom" wrapText="1"/>
    </xf>
    <xf numFmtId="167" fontId="0" fillId="2" borderId="9" applyAlignment="1" pivotButton="0" quotePrefix="0" xfId="0">
      <alignment vertical="center" wrapText="1"/>
    </xf>
    <xf numFmtId="168" fontId="0" fillId="2" borderId="9" applyAlignment="1" pivotButton="0" quotePrefix="0" xfId="0">
      <alignment vertical="center" wrapText="1"/>
    </xf>
    <xf numFmtId="172" fontId="3" fillId="2" borderId="9" applyAlignment="1" pivotButton="0" quotePrefix="0" xfId="0">
      <alignment horizontal="center" vertical="bottom" wrapText="1"/>
    </xf>
    <xf numFmtId="170" fontId="0" fillId="2" borderId="9" applyAlignment="1" pivotButton="0" quotePrefix="0" xfId="0">
      <alignment vertical="center" wrapText="1"/>
    </xf>
    <xf numFmtId="169" fontId="3" fillId="2" borderId="9" applyAlignment="1" pivotButton="0" quotePrefix="0" xfId="0">
      <alignment horizontal="center" vertical="center" wrapText="1"/>
    </xf>
    <xf numFmtId="172" fontId="0" fillId="2" borderId="9" applyAlignment="1" pivotButton="0" quotePrefix="0" xfId="0">
      <alignment vertical="bottom" wrapText="1"/>
    </xf>
    <xf numFmtId="167" fontId="3" fillId="2" borderId="9" applyAlignment="1" pivotButton="0" quotePrefix="0" xfId="0">
      <alignment vertical="bottom" wrapText="1"/>
    </xf>
    <xf numFmtId="167" fontId="4" fillId="2" borderId="9" applyAlignment="1" pivotButton="0" quotePrefix="0" xfId="0">
      <alignment vertical="center" wrapText="1"/>
    </xf>
  </cellXfs>
  <cellStyles count="1">
    <cellStyle name="Normal" xfId="0" builtinId="0"/>
  </cellStyles>
  <dxfs count="2">
    <dxf>
      <font>
        <color rgb="ff9c0006"/>
      </font>
      <fill>
        <patternFill patternType="solid">
          <fgColor indexed="10"/>
          <bgColor indexed="11"/>
        </patternFill>
      </fill>
    </dxf>
    <dxf>
      <font>
        <color rgb="ffff0000"/>
      </font>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00000000"/>
      <rgbColor rgb="ffffc7ce"/>
      <rgbColor rgb="ff9c0006"/>
      <rgbColor rgb="ffaaaaaa"/>
      <rgbColor rgb="ffff0000"/>
      <rgbColor rgb="ffbfbfbf"/>
      <rgbColor rgb="ffffff0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AL295"/>
  <sheetViews>
    <sheetView showGridLines="0" defaultGridColor="1" workbookViewId="0">
      <selection activeCell="A1" sqref="A1"/>
    </sheetView>
  </sheetViews>
  <sheetFormatPr baseColWidth="8" defaultColWidth="9.16667" defaultRowHeight="67.2" customHeight="1" outlineLevelRow="0"/>
  <cols>
    <col width="203.352" customWidth="1" style="1" min="1" max="1"/>
    <col width="255" customWidth="1" style="1" min="2" max="2"/>
    <col width="29.3516" customWidth="1" style="1" min="3" max="3"/>
    <col width="49.1719" customWidth="1" style="1" min="4" max="4"/>
    <col width="38" customWidth="1" style="1" min="5" max="6"/>
    <col width="49.1719" customWidth="1" style="1" min="7" max="7"/>
    <col width="59.5" customWidth="1" style="1" min="8" max="8"/>
    <col width="33.1719" customWidth="1" style="1" min="9" max="9"/>
    <col width="40.8516" customWidth="1" style="1" min="10" max="10"/>
    <col width="46" customWidth="1" style="1" min="11" max="11"/>
    <col width="41.1719" customWidth="1" style="1" min="12" max="12"/>
    <col width="46" customWidth="1" style="1" min="13" max="16"/>
    <col width="46.3516" customWidth="1" style="1" min="17" max="17"/>
    <col width="46" customWidth="1" style="1" min="18" max="18"/>
    <col width="79.3516" customWidth="1" style="1" min="19" max="19"/>
    <col width="44.1719" customWidth="1" style="1" min="20" max="21"/>
    <col width="43.1719" customWidth="1" style="1" min="22" max="22"/>
    <col width="90.5" customWidth="1" style="1" min="23" max="23"/>
    <col width="98.17189999999999" customWidth="1" style="1" min="24" max="24"/>
    <col width="130.172" customWidth="1" style="1" min="25" max="25"/>
    <col width="63.5" customWidth="1" style="1" min="26" max="26"/>
    <col width="105.672" customWidth="1" style="1" min="27" max="27"/>
    <col width="120.5" customWidth="1" style="1" min="28" max="28"/>
    <col width="98.5" customWidth="1" style="1" min="29" max="29"/>
    <col width="112.352" customWidth="1" style="1" min="30" max="30"/>
    <col width="75.67189999999999" customWidth="1" style="1" min="31" max="31"/>
    <col width="9.17188" customWidth="1" style="1" min="32" max="33"/>
    <col width="21" customWidth="1" style="1" min="34" max="34"/>
    <col width="82.3516" customWidth="1" style="1" min="35" max="35"/>
    <col width="9.17188" customWidth="1" style="1" min="36" max="37"/>
    <col width="22" customWidth="1" style="1" min="38" max="38"/>
    <col width="9.17188" customWidth="1" style="1" min="39" max="16384"/>
  </cols>
  <sheetData>
    <row r="1" ht="66.59999999999999" customHeight="1" s="104">
      <c r="A1" s="2" t="n"/>
      <c r="B1" s="3" t="inlineStr">
        <is>
          <t>BOLETIM DE MEDIÇÃO Nº 39</t>
        </is>
      </c>
      <c r="C1" s="105" t="n"/>
      <c r="D1" s="105" t="n"/>
      <c r="E1" s="105" t="n"/>
      <c r="F1" s="105" t="n"/>
      <c r="G1" s="105" t="n"/>
      <c r="H1" s="105" t="n"/>
      <c r="I1" s="105" t="n"/>
      <c r="J1" s="105" t="n"/>
      <c r="K1" s="105" t="n"/>
      <c r="L1" s="105" t="n"/>
      <c r="M1" s="105" t="n"/>
      <c r="N1" s="105" t="n"/>
      <c r="O1" s="105" t="n"/>
      <c r="P1" s="105" t="n"/>
      <c r="Q1" s="105" t="n"/>
      <c r="R1" s="105" t="n"/>
      <c r="S1" s="105" t="n"/>
      <c r="T1" s="105" t="n"/>
      <c r="U1" s="105" t="n"/>
      <c r="V1" s="105" t="n"/>
      <c r="W1" s="105" t="n"/>
      <c r="X1" s="105" t="n"/>
      <c r="Y1" s="105" t="n"/>
      <c r="Z1" s="105" t="n"/>
      <c r="AA1" s="105" t="n"/>
      <c r="AB1" s="105" t="n"/>
      <c r="AC1" s="105" t="n"/>
      <c r="AD1" s="105" t="n"/>
      <c r="AE1" s="106" t="n"/>
      <c r="AF1" s="6" t="n"/>
      <c r="AG1" s="7" t="n"/>
      <c r="AH1" s="7" t="n"/>
      <c r="AI1" s="7" t="n"/>
      <c r="AJ1" s="7" t="n"/>
      <c r="AK1" s="7" t="n"/>
      <c r="AL1" s="7" t="n"/>
    </row>
    <row r="2" ht="66.59999999999999" customHeight="1" s="104">
      <c r="A2" s="107" t="n"/>
      <c r="B2" s="8" t="inlineStr">
        <is>
          <t>Nº 174/PMI-SEINFRA/2023</t>
        </is>
      </c>
      <c r="C2" s="9" t="inlineStr">
        <is>
          <t>MANUTENÇÃO DA ILUMINAÇÃO PÚBLICA</t>
        </is>
      </c>
      <c r="D2" s="108" t="n"/>
      <c r="E2" s="108" t="n"/>
      <c r="F2" s="108" t="n"/>
      <c r="G2" s="108" t="n"/>
      <c r="H2" s="108" t="n"/>
      <c r="I2" s="108" t="n"/>
      <c r="J2" s="108" t="n"/>
      <c r="K2" s="108" t="n"/>
      <c r="L2" s="108" t="n"/>
      <c r="M2" s="108" t="n"/>
      <c r="N2" s="108" t="n"/>
      <c r="O2" s="108" t="n"/>
      <c r="P2" s="108" t="n"/>
      <c r="Q2" s="108" t="n"/>
      <c r="R2" s="108" t="n"/>
      <c r="S2" s="108" t="n"/>
      <c r="T2" s="108" t="n"/>
      <c r="U2" s="108" t="n"/>
      <c r="V2" s="108" t="n"/>
      <c r="W2" s="108" t="n"/>
      <c r="X2" s="108" t="n"/>
      <c r="Y2" s="108" t="n"/>
      <c r="Z2" s="108" t="n"/>
      <c r="AA2" s="108" t="n"/>
      <c r="AB2" s="108" t="n"/>
      <c r="AC2" s="108" t="n"/>
      <c r="AD2" s="108" t="n"/>
      <c r="AE2" s="109" t="n"/>
      <c r="AF2" s="6" t="n"/>
      <c r="AG2" s="7" t="n"/>
      <c r="AH2" s="7" t="n"/>
      <c r="AI2" s="7" t="n"/>
      <c r="AJ2" s="7" t="n"/>
      <c r="AK2" s="7" t="n"/>
      <c r="AL2" s="7" t="n"/>
    </row>
    <row r="3" ht="66.59999999999999" customHeight="1" s="104">
      <c r="A3" s="110" t="n"/>
      <c r="B3" s="110" t="n"/>
      <c r="C3" s="111" t="n"/>
      <c r="D3" s="112" t="n"/>
      <c r="E3" s="112" t="n"/>
      <c r="F3" s="112" t="n"/>
      <c r="G3" s="112" t="n"/>
      <c r="H3" s="112" t="n"/>
      <c r="I3" s="112" t="n"/>
      <c r="J3" s="112" t="n"/>
      <c r="K3" s="112" t="n"/>
      <c r="L3" s="112" t="n"/>
      <c r="M3" s="112" t="n"/>
      <c r="N3" s="112" t="n"/>
      <c r="O3" s="112" t="n"/>
      <c r="P3" s="112" t="n"/>
      <c r="Q3" s="112" t="n"/>
      <c r="R3" s="112" t="n"/>
      <c r="S3" s="112" t="n"/>
      <c r="T3" s="112" t="n"/>
      <c r="U3" s="112" t="n"/>
      <c r="V3" s="112" t="n"/>
      <c r="W3" s="112" t="n"/>
      <c r="X3" s="112" t="n"/>
      <c r="Y3" s="112" t="n"/>
      <c r="Z3" s="112" t="n"/>
      <c r="AA3" s="112" t="n"/>
      <c r="AB3" s="112" t="n"/>
      <c r="AC3" s="112" t="n"/>
      <c r="AD3" s="112" t="n"/>
      <c r="AE3" s="113" t="n"/>
      <c r="AF3" s="6" t="n"/>
      <c r="AG3" s="7" t="n"/>
      <c r="AH3" s="7" t="n"/>
      <c r="AI3" s="7" t="n"/>
      <c r="AJ3" s="7" t="n"/>
      <c r="AK3" s="7" t="n"/>
      <c r="AL3" s="7" t="n"/>
    </row>
    <row r="4" ht="66.59999999999999" customHeight="1" s="104">
      <c r="A4" s="11" t="inlineStr">
        <is>
          <t>INÍCIO DO CONTRATO</t>
        </is>
      </c>
      <c r="B4" s="12" t="inlineStr">
        <is>
          <t>CONTRATO NATUREZA CONTINUA</t>
        </is>
      </c>
      <c r="C4" s="13" t="inlineStr">
        <is>
          <t>EMPRESA CONTRATADA</t>
        </is>
      </c>
      <c r="D4" s="108" t="n"/>
      <c r="E4" s="108" t="n"/>
      <c r="F4" s="108" t="n"/>
      <c r="G4" s="108" t="n"/>
      <c r="H4" s="108" t="n"/>
      <c r="I4" s="108" t="n"/>
      <c r="J4" s="108" t="n"/>
      <c r="K4" s="108" t="n"/>
      <c r="L4" s="108" t="n"/>
      <c r="M4" s="108" t="n"/>
      <c r="N4" s="108" t="n"/>
      <c r="O4" s="108" t="n"/>
      <c r="P4" s="108" t="n"/>
      <c r="Q4" s="108" t="n"/>
      <c r="R4" s="108" t="n"/>
      <c r="S4" s="108" t="n"/>
      <c r="T4" s="108" t="n"/>
      <c r="U4" s="108" t="n"/>
      <c r="V4" s="108" t="n"/>
      <c r="W4" s="108" t="n"/>
      <c r="X4" s="108" t="n"/>
      <c r="Y4" s="108" t="n"/>
      <c r="Z4" s="108" t="n"/>
      <c r="AA4" s="109" t="n"/>
      <c r="AB4" s="16" t="inlineStr">
        <is>
          <t>PERIODO DE MEDIÇÃO</t>
        </is>
      </c>
      <c r="AC4" s="11" t="inlineStr">
        <is>
          <t>TOMADOR/AG. PROMOTOR OU TOMADOR</t>
        </is>
      </c>
      <c r="AD4" s="105" t="n"/>
      <c r="AE4" s="106" t="n"/>
      <c r="AF4" s="6" t="n"/>
      <c r="AG4" s="7" t="n"/>
      <c r="AH4" s="7" t="n"/>
      <c r="AI4" s="7" t="n"/>
      <c r="AJ4" s="7" t="n"/>
      <c r="AK4" s="7" t="n"/>
      <c r="AL4" s="7" t="n"/>
    </row>
    <row r="5" ht="66.59999999999999" customHeight="1" s="104">
      <c r="A5" s="110" t="n"/>
      <c r="B5" s="110" t="n"/>
      <c r="C5" s="111" t="n"/>
      <c r="D5" s="112" t="n"/>
      <c r="E5" s="112" t="n"/>
      <c r="F5" s="112" t="n"/>
      <c r="G5" s="112" t="n"/>
      <c r="H5" s="112" t="n"/>
      <c r="I5" s="112" t="n"/>
      <c r="J5" s="112" t="n"/>
      <c r="K5" s="112" t="n"/>
      <c r="L5" s="112" t="n"/>
      <c r="M5" s="112" t="n"/>
      <c r="N5" s="112" t="n"/>
      <c r="O5" s="112" t="n"/>
      <c r="P5" s="112" t="n"/>
      <c r="Q5" s="112" t="n"/>
      <c r="R5" s="112" t="n"/>
      <c r="S5" s="112" t="n"/>
      <c r="T5" s="112" t="n"/>
      <c r="U5" s="112" t="n"/>
      <c r="V5" s="112" t="n"/>
      <c r="W5" s="112" t="n"/>
      <c r="X5" s="112" t="n"/>
      <c r="Y5" s="112" t="n"/>
      <c r="Z5" s="112" t="n"/>
      <c r="AA5" s="113" t="n"/>
      <c r="AB5" s="8" t="inlineStr">
        <is>
          <t>01/05/2026 A 31/05/2026</t>
        </is>
      </c>
      <c r="AC5" s="8" t="inlineStr">
        <is>
          <t>SECRETARIA DE INFRAESTRUTURA E OBRAS</t>
        </is>
      </c>
      <c r="AD5" s="108" t="n"/>
      <c r="AE5" s="109" t="n"/>
      <c r="AF5" s="6" t="n"/>
      <c r="AG5" s="7" t="n"/>
      <c r="AH5" s="7" t="n"/>
      <c r="AI5" s="7" t="n"/>
      <c r="AJ5" s="7" t="n"/>
      <c r="AK5" s="7" t="n"/>
      <c r="AL5" s="7" t="n"/>
    </row>
    <row r="6" ht="66.59999999999999" customHeight="1" s="104">
      <c r="A6" s="19" t="n">
        <v>45108</v>
      </c>
      <c r="B6" s="12" t="inlineStr">
        <is>
          <t>CT - DATA DA ASSINATURA</t>
        </is>
      </c>
      <c r="C6" s="20" t="inlineStr">
        <is>
          <t>EIP SERVIÇOS DE ILUMINAÇÃO LTDA</t>
        </is>
      </c>
      <c r="D6" s="105" t="n"/>
      <c r="E6" s="105" t="n"/>
      <c r="F6" s="105" t="n"/>
      <c r="G6" s="105" t="n"/>
      <c r="H6" s="105" t="n"/>
      <c r="I6" s="105" t="n"/>
      <c r="J6" s="105" t="n"/>
      <c r="K6" s="105" t="n"/>
      <c r="L6" s="105" t="n"/>
      <c r="M6" s="105" t="n"/>
      <c r="N6" s="105" t="n"/>
      <c r="O6" s="105" t="n"/>
      <c r="P6" s="105" t="n"/>
      <c r="Q6" s="105" t="n"/>
      <c r="R6" s="105" t="n"/>
      <c r="S6" s="105" t="n"/>
      <c r="T6" s="105" t="n"/>
      <c r="U6" s="105" t="n"/>
      <c r="V6" s="105" t="n"/>
      <c r="W6" s="105" t="n"/>
      <c r="X6" s="105" t="n"/>
      <c r="Y6" s="105" t="n"/>
      <c r="Z6" s="105" t="n"/>
      <c r="AA6" s="106" t="n"/>
      <c r="AB6" s="9" t="inlineStr">
        <is>
          <t>VALOR DA MEDIÇÃO</t>
        </is>
      </c>
      <c r="AC6" s="111" t="n"/>
      <c r="AD6" s="112" t="n"/>
      <c r="AE6" s="113" t="n"/>
      <c r="AF6" s="6" t="n"/>
      <c r="AG6" s="7" t="n"/>
      <c r="AH6" s="7" t="n"/>
      <c r="AI6" s="7" t="n"/>
      <c r="AJ6" s="7" t="n"/>
      <c r="AK6" s="7" t="n"/>
      <c r="AL6" s="7" t="n"/>
    </row>
    <row r="7" hidden="1" ht="66.59999999999999" customHeight="1" s="104">
      <c r="A7" s="11" t="inlineStr">
        <is>
          <t>VALOR PREVISTO</t>
        </is>
      </c>
      <c r="B7" s="23" t="n">
        <v>45103</v>
      </c>
      <c r="C7" s="13" t="inlineStr">
        <is>
          <t>OBJETO DO CTEF (RESUMIDO)</t>
        </is>
      </c>
      <c r="D7" s="108" t="n"/>
      <c r="E7" s="108" t="n"/>
      <c r="F7" s="108" t="n"/>
      <c r="G7" s="108" t="n"/>
      <c r="H7" s="108" t="n"/>
      <c r="I7" s="108" t="n"/>
      <c r="J7" s="108" t="n"/>
      <c r="K7" s="108" t="n"/>
      <c r="L7" s="108" t="n"/>
      <c r="M7" s="108" t="n"/>
      <c r="N7" s="108" t="n"/>
      <c r="O7" s="108" t="n"/>
      <c r="P7" s="108" t="n"/>
      <c r="Q7" s="108" t="n"/>
      <c r="R7" s="108" t="n"/>
      <c r="S7" s="108" t="n"/>
      <c r="T7" s="108" t="n"/>
      <c r="U7" s="108" t="n"/>
      <c r="V7" s="108" t="n"/>
      <c r="W7" s="108" t="n"/>
      <c r="X7" s="108" t="n"/>
      <c r="Y7" s="108" t="n"/>
      <c r="Z7" s="108" t="n"/>
      <c r="AA7" s="109" t="n"/>
      <c r="AB7" s="114">
        <f t="array" ref="AB7">AB292</f>
        <v/>
      </c>
      <c r="AC7" s="11" t="inlineStr">
        <is>
          <t>AGENTE FINANCEIRO OU AG. OPERADOR REPASSE</t>
        </is>
      </c>
      <c r="AD7" s="105" t="n"/>
      <c r="AE7" s="106" t="n"/>
      <c r="AF7" s="6" t="n"/>
      <c r="AG7" s="7" t="n"/>
      <c r="AH7" s="7" t="n"/>
      <c r="AI7" s="7" t="n"/>
      <c r="AJ7" s="7" t="n"/>
      <c r="AK7" s="7" t="n"/>
      <c r="AL7" s="7" t="n"/>
    </row>
    <row r="8" hidden="1" ht="66.59999999999999" customHeight="1" s="104">
      <c r="A8" s="115" t="n">
        <v>5814300.93</v>
      </c>
      <c r="B8" s="110" t="n"/>
      <c r="C8" s="111" t="n"/>
      <c r="D8" s="112" t="n"/>
      <c r="E8" s="112" t="n"/>
      <c r="F8" s="112" t="n"/>
      <c r="G8" s="112" t="n"/>
      <c r="H8" s="112" t="n"/>
      <c r="I8" s="112" t="n"/>
      <c r="J8" s="112" t="n"/>
      <c r="K8" s="112" t="n"/>
      <c r="L8" s="112" t="n"/>
      <c r="M8" s="112" t="n"/>
      <c r="N8" s="112" t="n"/>
      <c r="O8" s="112" t="n"/>
      <c r="P8" s="112" t="n"/>
      <c r="Q8" s="112" t="n"/>
      <c r="R8" s="112" t="n"/>
      <c r="S8" s="112" t="n"/>
      <c r="T8" s="112" t="n"/>
      <c r="U8" s="112" t="n"/>
      <c r="V8" s="112" t="n"/>
      <c r="W8" s="112" t="n"/>
      <c r="X8" s="112" t="n"/>
      <c r="Y8" s="112" t="n"/>
      <c r="Z8" s="112" t="n"/>
      <c r="AA8" s="113" t="n"/>
      <c r="AB8" s="110" t="n"/>
      <c r="AC8" s="8" t="inlineStr">
        <is>
          <t>FUNDO MUNICIPAL DE ILUMINAÇÃO PÚBLICA</t>
        </is>
      </c>
      <c r="AD8" s="108" t="n"/>
      <c r="AE8" s="109" t="n"/>
      <c r="AF8" s="6" t="n"/>
      <c r="AG8" s="7" t="n"/>
      <c r="AH8" s="7" t="n"/>
      <c r="AI8" s="7" t="n"/>
      <c r="AJ8" s="7" t="n"/>
      <c r="AK8" s="7" t="n"/>
      <c r="AL8" s="7" t="n"/>
    </row>
    <row r="9" hidden="1" ht="66.59999999999999" customHeight="1" s="104">
      <c r="A9" s="12" t="inlineStr">
        <is>
          <t xml:space="preserve">VALOR 1º + 2º TERMO ADT + APOSTILAMENTO </t>
        </is>
      </c>
      <c r="B9" s="23" t="n">
        <v>45348</v>
      </c>
      <c r="C9" s="26" t="inlineStr">
        <is>
          <t>CONTRATAÇÃO DE EMPRESA DE ENGENHARIA PARA PRESTAÇÃO DOS SERVIÇOS DE MANUTENÇÃO DE CARÁTER PREVENTIVO E CORRETIVO NO PARQUE DE ILUMINAÇÃO PÚBLICA DO MUNICÍPIO DE  IPOJUCA - PE</t>
        </is>
      </c>
      <c r="D9" s="105" t="n"/>
      <c r="E9" s="105" t="n"/>
      <c r="F9" s="105" t="n"/>
      <c r="G9" s="105" t="n"/>
      <c r="H9" s="105" t="n"/>
      <c r="I9" s="105" t="n"/>
      <c r="J9" s="105" t="n"/>
      <c r="K9" s="105" t="n"/>
      <c r="L9" s="105" t="n"/>
      <c r="M9" s="105" t="n"/>
      <c r="N9" s="105" t="n"/>
      <c r="O9" s="105" t="n"/>
      <c r="P9" s="105" t="n"/>
      <c r="Q9" s="105" t="n"/>
      <c r="R9" s="105" t="n"/>
      <c r="S9" s="105" t="n"/>
      <c r="T9" s="105" t="n"/>
      <c r="U9" s="105" t="n"/>
      <c r="V9" s="105" t="n"/>
      <c r="W9" s="105" t="n"/>
      <c r="X9" s="105" t="n"/>
      <c r="Y9" s="105" t="n"/>
      <c r="Z9" s="105" t="n"/>
      <c r="AA9" s="106" t="n"/>
      <c r="AB9" s="9" t="inlineStr">
        <is>
          <t>SALDO CONTRATUAL</t>
        </is>
      </c>
      <c r="AC9" s="116" t="n"/>
      <c r="AE9" s="117" t="n"/>
      <c r="AF9" s="6" t="n"/>
      <c r="AG9" s="7" t="n"/>
      <c r="AH9" s="7" t="n"/>
      <c r="AI9" s="7" t="n"/>
      <c r="AJ9" s="7" t="n"/>
      <c r="AK9" s="7" t="n"/>
      <c r="AL9" s="7" t="n"/>
    </row>
    <row r="10" hidden="1" ht="66.59999999999999" customHeight="1" s="104">
      <c r="A10" s="118">
        <f t="array" ref="A10">771088.5+632153.17+294797.54</f>
        <v/>
      </c>
      <c r="B10" s="107" t="n"/>
      <c r="C10" s="13" t="inlineStr">
        <is>
          <t>LOCAL DA OBRA (BAIRRO / MUNICIPIO / UF)</t>
        </is>
      </c>
      <c r="D10" s="108" t="n"/>
      <c r="E10" s="108" t="n"/>
      <c r="F10" s="108" t="n"/>
      <c r="G10" s="108" t="n"/>
      <c r="H10" s="108" t="n"/>
      <c r="I10" s="108" t="n"/>
      <c r="J10" s="108" t="n"/>
      <c r="K10" s="108" t="n"/>
      <c r="L10" s="108" t="n"/>
      <c r="M10" s="108" t="n"/>
      <c r="N10" s="108" t="n"/>
      <c r="O10" s="108" t="n"/>
      <c r="P10" s="108" t="n"/>
      <c r="Q10" s="108" t="n"/>
      <c r="R10" s="108" t="n"/>
      <c r="S10" s="108" t="n"/>
      <c r="T10" s="108" t="n"/>
      <c r="U10" s="108" t="n"/>
      <c r="V10" s="108" t="n"/>
      <c r="W10" s="108" t="n"/>
      <c r="X10" s="108" t="n"/>
      <c r="Y10" s="108" t="n"/>
      <c r="Z10" s="108" t="n"/>
      <c r="AA10" s="109" t="n"/>
      <c r="AB10" s="114">
        <f t="array" ref="AB10">$A$12-AC292</f>
        <v/>
      </c>
      <c r="AC10" s="116" t="n"/>
      <c r="AE10" s="117" t="n"/>
      <c r="AF10" s="6" t="n"/>
      <c r="AG10" s="7" t="n"/>
      <c r="AH10" s="119" t="n"/>
      <c r="AI10" s="7" t="n"/>
      <c r="AJ10" s="7" t="n"/>
      <c r="AK10" s="7" t="n"/>
      <c r="AL10" s="7" t="n"/>
    </row>
    <row r="11" ht="66.59999999999999" customHeight="1" s="104">
      <c r="A11" s="11" t="inlineStr">
        <is>
          <t>VALOR TOTAL</t>
        </is>
      </c>
      <c r="B11" s="107" t="n"/>
      <c r="C11" s="111" t="n"/>
      <c r="D11" s="112" t="n"/>
      <c r="E11" s="112" t="n"/>
      <c r="F11" s="112" t="n"/>
      <c r="G11" s="112" t="n"/>
      <c r="H11" s="112" t="n"/>
      <c r="I11" s="112" t="n"/>
      <c r="J11" s="112" t="n"/>
      <c r="K11" s="112" t="n"/>
      <c r="L11" s="112" t="n"/>
      <c r="M11" s="112" t="n"/>
      <c r="N11" s="112" t="n"/>
      <c r="O11" s="112" t="n"/>
      <c r="P11" s="112" t="n"/>
      <c r="Q11" s="112" t="n"/>
      <c r="R11" s="112" t="n"/>
      <c r="S11" s="112" t="n"/>
      <c r="T11" s="112" t="n"/>
      <c r="U11" s="112" t="n"/>
      <c r="V11" s="112" t="n"/>
      <c r="W11" s="112" t="n"/>
      <c r="X11" s="112" t="n"/>
      <c r="Y11" s="112" t="n"/>
      <c r="Z11" s="112" t="n"/>
      <c r="AA11" s="113" t="n"/>
      <c r="AB11" s="110" t="n"/>
      <c r="AC11" s="111" t="n"/>
      <c r="AD11" s="112" t="n"/>
      <c r="AE11" s="113" t="n"/>
      <c r="AF11" s="6" t="n"/>
      <c r="AG11" s="7" t="n"/>
      <c r="AH11" s="7" t="n"/>
      <c r="AI11" s="7" t="n"/>
      <c r="AJ11" s="7" t="n"/>
      <c r="AK11" s="7" t="n"/>
      <c r="AL11" s="7" t="n"/>
    </row>
    <row r="12" ht="63.6" customHeight="1" s="104">
      <c r="A12" s="118">
        <f t="array" ref="A12">SUM(A8,A10)</f>
        <v/>
      </c>
      <c r="B12" s="110" t="n"/>
      <c r="C12" s="20" t="inlineStr">
        <is>
          <t>IPOJUCA - PE</t>
        </is>
      </c>
      <c r="D12" s="105" t="n"/>
      <c r="E12" s="105" t="n"/>
      <c r="F12" s="105" t="n"/>
      <c r="G12" s="105" t="n"/>
      <c r="H12" s="105" t="n"/>
      <c r="I12" s="105" t="n"/>
      <c r="J12" s="105" t="n"/>
      <c r="K12" s="105" t="n"/>
      <c r="L12" s="105" t="n"/>
      <c r="M12" s="105" t="n"/>
      <c r="N12" s="105" t="n"/>
      <c r="O12" s="105" t="n"/>
      <c r="P12" s="105" t="n"/>
      <c r="Q12" s="105" t="n"/>
      <c r="R12" s="105" t="n"/>
      <c r="S12" s="105" t="n"/>
      <c r="T12" s="105" t="n"/>
      <c r="U12" s="105" t="n"/>
      <c r="V12" s="105" t="n"/>
      <c r="W12" s="105" t="n"/>
      <c r="X12" s="105" t="n"/>
      <c r="Y12" s="105" t="n"/>
      <c r="Z12" s="105" t="n"/>
      <c r="AA12" s="105" t="n"/>
      <c r="AB12" s="105" t="n"/>
      <c r="AC12" s="105" t="n"/>
      <c r="AD12" s="105" t="n"/>
      <c r="AE12" s="106" t="n"/>
      <c r="AF12" s="6" t="n"/>
      <c r="AG12" s="7" t="n"/>
      <c r="AH12" s="7" t="n"/>
      <c r="AI12" s="7" t="n"/>
      <c r="AJ12" s="7" t="n"/>
      <c r="AK12" s="7" t="n"/>
      <c r="AL12" s="7" t="n"/>
    </row>
    <row r="13" ht="66.59999999999999" customHeight="1" s="104">
      <c r="A13" s="30" t="inlineStr">
        <is>
          <t>ITEM</t>
        </is>
      </c>
      <c r="B13" s="30" t="inlineStr">
        <is>
          <t>DESCRIÇÃO</t>
        </is>
      </c>
      <c r="C13" s="30" t="inlineStr">
        <is>
          <t>UNID.</t>
        </is>
      </c>
      <c r="D13" s="30" t="inlineStr">
        <is>
          <t>QUANT.
PREVISTO</t>
        </is>
      </c>
      <c r="E13" s="30" t="inlineStr">
        <is>
          <t>1º TERMO
ADITIVO</t>
        </is>
      </c>
      <c r="F13" s="30" t="inlineStr">
        <is>
          <t>2º TERMO
ADITIVO</t>
        </is>
      </c>
      <c r="G13" s="30" t="inlineStr">
        <is>
          <t>QUANT.
TOTAL</t>
        </is>
      </c>
      <c r="H13" s="30" t="inlineStr">
        <is>
          <t>PREÇO
UNITÁRIO</t>
        </is>
      </c>
      <c r="I13" s="31" t="inlineStr">
        <is>
          <t>BM28
26 A 30 JUN</t>
        </is>
      </c>
      <c r="J13" s="31" t="inlineStr">
        <is>
          <t>BM29
JUL/2025</t>
        </is>
      </c>
      <c r="K13" s="31" t="inlineStr">
        <is>
          <t>BM30
AGO/2025</t>
        </is>
      </c>
      <c r="L13" s="31" t="inlineStr">
        <is>
          <t>BM31
SET/2025</t>
        </is>
      </c>
      <c r="M13" s="31" t="inlineStr">
        <is>
          <t>BM32
OUT/2025</t>
        </is>
      </c>
      <c r="N13" s="31" t="inlineStr">
        <is>
          <t>BM33
NOV/2025</t>
        </is>
      </c>
      <c r="O13" s="31" t="inlineStr">
        <is>
          <t>BM34
01 A 15 DEZ/2025</t>
        </is>
      </c>
      <c r="P13" s="31" t="inlineStr">
        <is>
          <t>BM35
15 A 31 DEZ/2025</t>
        </is>
      </c>
      <c r="Q13" s="31" t="inlineStr">
        <is>
          <t>BM36
JAN/2026</t>
        </is>
      </c>
      <c r="R13" s="31" t="inlineStr">
        <is>
          <t>BM37
FEV/2026</t>
        </is>
      </c>
      <c r="S13" s="31" t="inlineStr">
        <is>
          <t>BM38 MAR/2026</t>
        </is>
      </c>
      <c r="T13" s="31" t="inlineStr">
        <is>
          <t>BM38
ABR/2026</t>
        </is>
      </c>
      <c r="U13" s="31" t="inlineStr">
        <is>
          <t>BM39
MAI/2026</t>
        </is>
      </c>
      <c r="V13" s="31" t="inlineStr">
        <is>
          <t>BM40
JUN/2026</t>
        </is>
      </c>
      <c r="W13" s="30" t="inlineStr">
        <is>
          <t>EXECUTADO FISICO (QUANTIDADE)</t>
        </is>
      </c>
      <c r="X13" s="105" t="n"/>
      <c r="Y13" s="105" t="n"/>
      <c r="Z13" s="106" t="n"/>
      <c r="AA13" s="30" t="inlineStr">
        <is>
          <t>EXECUTADO FINANCEIRO (R$)</t>
        </is>
      </c>
      <c r="AB13" s="105" t="n"/>
      <c r="AC13" s="105" t="n"/>
      <c r="AD13" s="105" t="n"/>
      <c r="AE13" s="106" t="n"/>
      <c r="AF13" s="6" t="n"/>
      <c r="AG13" s="7" t="n"/>
      <c r="AH13" s="7" t="n"/>
      <c r="AI13" s="7" t="n"/>
      <c r="AJ13" s="7" t="n"/>
      <c r="AK13" s="7" t="n"/>
      <c r="AL13" s="7" t="n"/>
    </row>
    <row r="14" ht="199.8" customHeight="1" s="104">
      <c r="A14" s="110" t="n"/>
      <c r="B14" s="110" t="n"/>
      <c r="C14" s="110" t="n"/>
      <c r="D14" s="110" t="n"/>
      <c r="E14" s="110" t="n"/>
      <c r="F14" s="110" t="n"/>
      <c r="G14" s="110" t="n"/>
      <c r="H14" s="110" t="n"/>
      <c r="I14" s="110" t="n"/>
      <c r="J14" s="110" t="n"/>
      <c r="K14" s="110" t="n"/>
      <c r="L14" s="110" t="n"/>
      <c r="M14" s="110" t="n"/>
      <c r="N14" s="110" t="n"/>
      <c r="O14" s="110" t="n"/>
      <c r="P14" s="110" t="n"/>
      <c r="Q14" s="110" t="n"/>
      <c r="R14" s="110" t="n"/>
      <c r="S14" s="110" t="n"/>
      <c r="T14" s="110" t="n"/>
      <c r="U14" s="110" t="n"/>
      <c r="V14" s="110" t="n"/>
      <c r="W14" s="30" t="inlineStr">
        <is>
          <t>SOMA DOS BM's</t>
        </is>
      </c>
      <c r="X14" s="30" t="inlineStr">
        <is>
          <t>MEDIDO NO PERIODO</t>
        </is>
      </c>
      <c r="Y14" s="30" t="inlineStr">
        <is>
          <t>ACUMULADO INCLUINDO O PERIODO ATUAL</t>
        </is>
      </c>
      <c r="Z14" s="31" t="inlineStr">
        <is>
          <t>SALDO A EXECUTAR</t>
        </is>
      </c>
      <c r="AA14" s="30" t="inlineStr">
        <is>
          <t>ACUMULADO ATÉ O PERIODO ANTERIOR</t>
        </is>
      </c>
      <c r="AB14" s="30" t="inlineStr">
        <is>
          <t>MEDIDO NO PERIODO</t>
        </is>
      </c>
      <c r="AC14" s="30" t="inlineStr">
        <is>
          <t>ACUMULADO INCLUINDO O PERIODO ATUAL</t>
        </is>
      </c>
      <c r="AD14" s="30" t="inlineStr">
        <is>
          <t>SALDO A EXECUTAR</t>
        </is>
      </c>
      <c r="AE14" s="35" t="inlineStr">
        <is>
          <t>DESVIO (%)</t>
        </is>
      </c>
      <c r="AF14" s="36" t="n"/>
      <c r="AG14" s="7" t="n"/>
      <c r="AH14" s="7" t="n"/>
      <c r="AI14" s="7" t="n"/>
      <c r="AJ14" s="7" t="n"/>
      <c r="AK14" s="7" t="n"/>
      <c r="AL14" s="119" t="n"/>
    </row>
    <row r="15" ht="133.2" customHeight="1" s="104">
      <c r="A15" s="37" t="inlineStr">
        <is>
          <t>1.0</t>
        </is>
      </c>
      <c r="B15" s="38" t="inlineStr">
        <is>
          <t>SERVIÇOS DE MANUTENÇÃO DO SISTEMA DE ILUMINAÇÃO PÚBLICA</t>
        </is>
      </c>
      <c r="C15" s="120" t="n"/>
      <c r="D15" s="40" t="n"/>
      <c r="E15" s="40" t="n"/>
      <c r="F15" s="40" t="n"/>
      <c r="G15" s="40" t="n"/>
      <c r="H15" s="41" t="n"/>
      <c r="I15" s="42" t="n"/>
      <c r="J15" s="42" t="n"/>
      <c r="K15" s="42" t="n"/>
      <c r="L15" s="42" t="n"/>
      <c r="M15" s="42" t="n"/>
      <c r="N15" s="42" t="n"/>
      <c r="O15" s="42" t="n"/>
      <c r="P15" s="42" t="n"/>
      <c r="Q15" s="42" t="n"/>
      <c r="R15" s="42" t="n"/>
      <c r="S15" s="42" t="n"/>
      <c r="T15" s="42" t="n"/>
      <c r="U15" s="42" t="n"/>
      <c r="V15" s="42" t="n"/>
      <c r="W15" s="40" t="n"/>
      <c r="X15" s="40" t="n"/>
      <c r="Y15" s="40" t="n"/>
      <c r="Z15" s="40" t="n"/>
      <c r="AA15" s="40" t="n"/>
      <c r="AB15" s="40" t="n"/>
      <c r="AC15" s="40" t="n"/>
      <c r="AD15" s="40" t="n"/>
      <c r="AE15" s="43" t="n"/>
      <c r="AF15" s="36" t="n"/>
      <c r="AG15" s="7" t="n"/>
      <c r="AH15" s="7" t="n"/>
      <c r="AI15" s="7" t="n"/>
      <c r="AJ15" s="7" t="n"/>
      <c r="AK15" s="7" t="n"/>
      <c r="AL15" s="7" t="n"/>
    </row>
    <row r="16" ht="199.8" customHeight="1" s="104">
      <c r="A16" s="44" t="inlineStr">
        <is>
          <t>1.1</t>
        </is>
      </c>
      <c r="B16" s="44" t="inlineStr">
        <is>
          <t>GESTÃO E MANUTENÇÃO DAS UNIDADES CONSUMIDORAS, CLASSIFICADAS COMO ILUMINAÇÃO PÚBLICA - PREÇO UNITÁRIO POR PONTO LUMINOSO.</t>
        </is>
      </c>
      <c r="C16" s="44" t="inlineStr">
        <is>
          <t>UN</t>
        </is>
      </c>
      <c r="D16" s="45" t="n">
        <v>105360</v>
      </c>
      <c r="E16" s="46" t="n"/>
      <c r="F16" s="46" t="n"/>
      <c r="G16" s="45">
        <f t="array" ref="G16">SUM(D16:F16)</f>
        <v/>
      </c>
      <c r="H16" s="121">
        <f t="array" ref="H16">VLOOKUP(A16,#REF!,5,0)</f>
        <v/>
      </c>
      <c r="I16" s="122" t="n">
        <v>0</v>
      </c>
      <c r="J16" s="123" t="n">
        <v>8780</v>
      </c>
      <c r="K16" s="124" t="n">
        <v>8780</v>
      </c>
      <c r="L16" s="123" t="n">
        <v>8780</v>
      </c>
      <c r="M16" s="124" t="n">
        <v>8780</v>
      </c>
      <c r="N16" s="124" t="n">
        <v>8780</v>
      </c>
      <c r="O16" s="124" t="n">
        <v>8780</v>
      </c>
      <c r="P16" s="124" t="n">
        <v>0</v>
      </c>
      <c r="Q16" s="124" t="n">
        <v>8780</v>
      </c>
      <c r="R16" s="124" t="n">
        <v>8780</v>
      </c>
      <c r="S16" s="124" t="n">
        <v>8780</v>
      </c>
      <c r="T16" s="124" t="n">
        <v>8780</v>
      </c>
      <c r="U16" s="124" t="n"/>
      <c r="V16" s="124" t="n"/>
      <c r="W16" s="125">
        <f t="array" ref="W16">SUM(I16:V16)</f>
        <v/>
      </c>
      <c r="X16" s="126" t="n">
        <v>8780</v>
      </c>
      <c r="Y16" s="125">
        <f t="array" ref="Y16">W16+X16</f>
        <v/>
      </c>
      <c r="Z16" s="125">
        <f t="array" ref="Z16">G16-Y16</f>
        <v/>
      </c>
      <c r="AA16" s="121">
        <f t="array" ref="AA16">ROUND(W16*H16,2)</f>
        <v/>
      </c>
      <c r="AB16" s="127">
        <f t="array" ref="AB16">ROUND(X16*H16,2)</f>
        <v/>
      </c>
      <c r="AC16" s="121">
        <f t="array" ref="AC16">ROUND(AA16+AB16,2)</f>
        <v/>
      </c>
      <c r="AD16" s="127">
        <f t="array" ref="AD16">ROUND((G16*H16)-AC16,2)</f>
        <v/>
      </c>
      <c r="AE16" s="54">
        <f t="array" ref="AE16">_xlfn.IFERROR(ROUND(AC16/(G16*H16),2),0)</f>
        <v/>
      </c>
      <c r="AF16" s="7" t="n"/>
      <c r="AG16" s="7" t="n"/>
      <c r="AH16" s="7" t="n"/>
      <c r="AI16" s="7" t="n"/>
      <c r="AJ16" s="7" t="n"/>
      <c r="AK16" s="7" t="n"/>
      <c r="AL16" s="7" t="n"/>
    </row>
    <row r="17" ht="133.2" customHeight="1" s="104">
      <c r="A17" s="37" t="inlineStr">
        <is>
          <t>2.0</t>
        </is>
      </c>
      <c r="B17" s="38" t="inlineStr">
        <is>
          <t xml:space="preserve">SERVIÇOS DE GESTÃO DO SISTEMA DE ILUMINAÇÃO PÚBLICA </t>
        </is>
      </c>
      <c r="C17" s="128" t="n"/>
      <c r="D17" s="56" t="n"/>
      <c r="E17" s="56" t="n"/>
      <c r="F17" s="56" t="n"/>
      <c r="G17" s="56" t="n"/>
      <c r="H17" s="57" t="n"/>
      <c r="I17" s="129" t="n"/>
      <c r="J17" s="56" t="n"/>
      <c r="K17" s="130" t="n"/>
      <c r="L17" s="60" t="n"/>
      <c r="M17" s="130" t="n"/>
      <c r="N17" s="130" t="n"/>
      <c r="O17" s="130" t="n"/>
      <c r="P17" s="130" t="n"/>
      <c r="Q17" s="130" t="n"/>
      <c r="R17" s="130" t="n"/>
      <c r="S17" s="130" t="n"/>
      <c r="T17" s="130" t="n"/>
      <c r="U17" s="130" t="n"/>
      <c r="V17" s="130" t="n"/>
      <c r="W17" s="130" t="n"/>
      <c r="X17" s="56" t="n"/>
      <c r="Y17" s="56" t="n"/>
      <c r="Z17" s="56" t="n"/>
      <c r="AA17" s="56" t="n"/>
      <c r="AB17" s="56" t="n"/>
      <c r="AC17" s="131" t="n"/>
      <c r="AD17" s="56" t="n"/>
      <c r="AE17" s="62" t="n"/>
      <c r="AF17" s="36" t="n"/>
      <c r="AG17" s="7" t="n"/>
      <c r="AH17" s="7" t="n"/>
      <c r="AI17" s="7" t="n"/>
      <c r="AJ17" s="7" t="n"/>
      <c r="AK17" s="7" t="n"/>
      <c r="AL17" s="7" t="n"/>
    </row>
    <row r="18" ht="66.59999999999999" customHeight="1" s="104">
      <c r="A18" s="44" t="inlineStr">
        <is>
          <t>2.1</t>
        </is>
      </c>
      <c r="B18" s="44" t="inlineStr">
        <is>
          <t>ABERTURA DE CAVA EM TERRENO NORMAL</t>
        </is>
      </c>
      <c r="C18" s="44" t="inlineStr">
        <is>
          <t>UN</t>
        </is>
      </c>
      <c r="D18" s="45" t="n">
        <v>25</v>
      </c>
      <c r="E18" s="45" t="n"/>
      <c r="F18" s="45" t="n"/>
      <c r="G18" s="45">
        <f t="array" ref="G18">SUM(D18:F18)</f>
        <v/>
      </c>
      <c r="H18" s="121">
        <f t="array" ref="H18">VLOOKUP(A18,#REF!,5,0)</f>
        <v/>
      </c>
      <c r="I18" s="122" t="n">
        <v>0</v>
      </c>
      <c r="J18" s="123" t="n">
        <v>0</v>
      </c>
      <c r="K18" s="124" t="n">
        <v>0</v>
      </c>
      <c r="L18" s="123" t="n">
        <v>0</v>
      </c>
      <c r="M18" s="124" t="n">
        <v>0</v>
      </c>
      <c r="N18" s="124" t="n">
        <v>14</v>
      </c>
      <c r="O18" s="124" t="n">
        <v>5</v>
      </c>
      <c r="P18" s="124" t="n">
        <v>0</v>
      </c>
      <c r="Q18" s="124" t="n">
        <v>0</v>
      </c>
      <c r="R18" s="124" t="n">
        <v>0</v>
      </c>
      <c r="S18" s="124" t="n">
        <v>0</v>
      </c>
      <c r="T18" s="124" t="n">
        <v>0</v>
      </c>
      <c r="U18" s="124" t="n"/>
      <c r="V18" s="124" t="n"/>
      <c r="W18" s="125">
        <f t="array" ref="W18">SUM(I18:V18)</f>
        <v/>
      </c>
      <c r="X18" s="126" t="n">
        <v>0</v>
      </c>
      <c r="Y18" s="125">
        <f t="array" ref="Y18">W18+X18</f>
        <v/>
      </c>
      <c r="Z18" s="125">
        <f t="array" ref="Z18">G18-Y18</f>
        <v/>
      </c>
      <c r="AA18" s="121">
        <f t="array" ref="AA18">ROUND(W18*H18,2)</f>
        <v/>
      </c>
      <c r="AB18" s="127">
        <f t="array" ref="AB18">ROUND(X18*H18,2)</f>
        <v/>
      </c>
      <c r="AC18" s="121">
        <f t="array" ref="AC18">ROUND(AA18+AB18,2)</f>
        <v/>
      </c>
      <c r="AD18" s="127">
        <f t="array" ref="AD18">ROUND((G18*H18)-AC18,2)</f>
        <v/>
      </c>
      <c r="AE18" s="54">
        <f t="array" ref="AE18">_xlfn.IFERROR(ROUND(AC18/(G18*H18),2),0)</f>
        <v/>
      </c>
      <c r="AF18" s="7" t="n"/>
      <c r="AG18" s="7" t="n"/>
      <c r="AH18" s="7" t="n"/>
      <c r="AI18" s="7" t="n"/>
      <c r="AJ18" s="7" t="n"/>
      <c r="AK18" s="7" t="n"/>
      <c r="AL18" s="7" t="n"/>
    </row>
    <row r="19" ht="133.2" customHeight="1" s="104">
      <c r="A19" s="44" t="inlineStr">
        <is>
          <t>2.2</t>
        </is>
      </c>
      <c r="B19" s="44" t="inlineStr">
        <is>
          <t>ABERTURA E FECHAMENTO DE VALA, LARGURA 40CM E PROFUNDIDADE 60 CM</t>
        </is>
      </c>
      <c r="C19" s="44" t="inlineStr">
        <is>
          <t>UN</t>
        </is>
      </c>
      <c r="D19" s="45" t="n">
        <v>250</v>
      </c>
      <c r="E19" s="45" t="n"/>
      <c r="F19" s="45" t="n"/>
      <c r="G19" s="45">
        <f t="array" ref="G19">SUM(D19:F19)</f>
        <v/>
      </c>
      <c r="H19" s="121">
        <f t="array" ref="H19">VLOOKUP(A19,#REF!,5,0)</f>
        <v/>
      </c>
      <c r="I19" s="122" t="n">
        <v>0</v>
      </c>
      <c r="J19" s="123" t="n">
        <v>9</v>
      </c>
      <c r="K19" s="124" t="n">
        <v>14</v>
      </c>
      <c r="L19" s="123" t="n">
        <v>0</v>
      </c>
      <c r="M19" s="124" t="n">
        <v>0</v>
      </c>
      <c r="N19" s="124" t="n">
        <v>50</v>
      </c>
      <c r="O19" s="124" t="n">
        <v>149</v>
      </c>
      <c r="P19" s="124" t="n">
        <v>0</v>
      </c>
      <c r="Q19" s="124" t="n">
        <v>0</v>
      </c>
      <c r="R19" s="124" t="n">
        <v>24</v>
      </c>
      <c r="S19" s="124" t="n">
        <v>1</v>
      </c>
      <c r="T19" s="124" t="n">
        <v>1</v>
      </c>
      <c r="U19" s="124" t="n"/>
      <c r="V19" s="124" t="n"/>
      <c r="W19" s="125">
        <f t="array" ref="W19">SUM(I19:V19)</f>
        <v/>
      </c>
      <c r="X19" s="126" t="n">
        <v>0</v>
      </c>
      <c r="Y19" s="125">
        <f t="array" ref="Y19">W19+X19</f>
        <v/>
      </c>
      <c r="Z19" s="125">
        <f t="array" ref="Z19">G19-Y19</f>
        <v/>
      </c>
      <c r="AA19" s="121">
        <f t="array" ref="AA19">ROUND(W19*H19,2)</f>
        <v/>
      </c>
      <c r="AB19" s="127">
        <f t="array" ref="AB19">ROUND(X19*H19,2)</f>
        <v/>
      </c>
      <c r="AC19" s="121">
        <f t="array" ref="AC19">ROUND(AA19+AB19,2)</f>
        <v/>
      </c>
      <c r="AD19" s="127">
        <f t="array" ref="AD19">ROUND((G19*H19)-AC19,2)</f>
        <v/>
      </c>
      <c r="AE19" s="54">
        <f t="array" ref="AE19">_xlfn.IFERROR(ROUND(AC19/(G19*H19),2),0)</f>
        <v/>
      </c>
      <c r="AF19" s="7" t="n"/>
      <c r="AG19" s="7" t="n"/>
      <c r="AH19" s="7" t="n"/>
      <c r="AI19" s="7" t="n"/>
      <c r="AJ19" s="7" t="n"/>
      <c r="AK19" s="7" t="n"/>
      <c r="AL19" s="7" t="n"/>
    </row>
    <row r="20" ht="133.2" customHeight="1" s="104">
      <c r="A20" s="44" t="inlineStr">
        <is>
          <t>2.3</t>
        </is>
      </c>
      <c r="B20" s="44" t="inlineStr">
        <is>
          <t>CADASTRO DE PONTO DE ILUMINAÇÃO PÚBLICA COM GEORREFERENCIAMENTO</t>
        </is>
      </c>
      <c r="C20" s="44" t="inlineStr">
        <is>
          <t>UN</t>
        </is>
      </c>
      <c r="D20" s="45" t="n">
        <v>1756</v>
      </c>
      <c r="E20" s="45" t="n"/>
      <c r="F20" s="45" t="n"/>
      <c r="G20" s="45">
        <f t="array" ref="G20">SUM(D20:F20)</f>
        <v/>
      </c>
      <c r="H20" s="121">
        <f t="array" ref="H20">VLOOKUP(A20,#REF!,5,0)</f>
        <v/>
      </c>
      <c r="I20" s="122" t="n">
        <v>82</v>
      </c>
      <c r="J20" s="123" t="n">
        <v>228</v>
      </c>
      <c r="K20" s="124" t="n">
        <v>0</v>
      </c>
      <c r="L20" s="123" t="n">
        <v>0</v>
      </c>
      <c r="M20" s="124" t="n">
        <v>0</v>
      </c>
      <c r="N20" s="124" t="n">
        <v>0</v>
      </c>
      <c r="O20" s="124" t="n">
        <v>0</v>
      </c>
      <c r="P20" s="124" t="n">
        <v>0</v>
      </c>
      <c r="Q20" s="124" t="n">
        <v>0</v>
      </c>
      <c r="R20" s="124" t="n">
        <v>0</v>
      </c>
      <c r="S20" s="124" t="n">
        <v>0</v>
      </c>
      <c r="T20" s="124" t="n">
        <v>0</v>
      </c>
      <c r="U20" s="124" t="n"/>
      <c r="V20" s="124" t="n"/>
      <c r="W20" s="125">
        <f t="array" ref="W20">SUM(I20:V20)</f>
        <v/>
      </c>
      <c r="X20" s="126" t="n">
        <v>0</v>
      </c>
      <c r="Y20" s="125">
        <f t="array" ref="Y20">W20+X20</f>
        <v/>
      </c>
      <c r="Z20" s="125">
        <f t="array" ref="Z20">G20-Y20</f>
        <v/>
      </c>
      <c r="AA20" s="121">
        <f t="array" ref="AA20">ROUND(W20*H20,2)</f>
        <v/>
      </c>
      <c r="AB20" s="127">
        <f t="array" ref="AB20">ROUND(X20*H20,2)</f>
        <v/>
      </c>
      <c r="AC20" s="121">
        <f t="array" ref="AC20">ROUND(AA20+AB20,2)</f>
        <v/>
      </c>
      <c r="AD20" s="127">
        <f t="array" ref="AD20">ROUND((G20*H20)-AC20,2)</f>
        <v/>
      </c>
      <c r="AE20" s="54">
        <f t="array" ref="AE20">_xlfn.IFERROR(ROUND(AC20/(G20*H20),2),0)</f>
        <v/>
      </c>
      <c r="AF20" s="7" t="n"/>
      <c r="AG20" s="7" t="n"/>
      <c r="AH20" s="7" t="n"/>
      <c r="AI20" s="132" t="n"/>
      <c r="AJ20" s="7" t="n"/>
      <c r="AK20" s="7" t="n"/>
      <c r="AL20" s="7" t="n"/>
    </row>
    <row r="21" ht="64.2" customHeight="1" s="104">
      <c r="A21" s="44" t="inlineStr">
        <is>
          <t>2.4</t>
        </is>
      </c>
      <c r="B21" s="44" t="inlineStr">
        <is>
          <t>CONCRETAGEM DE DUTOS OU CABOS</t>
        </is>
      </c>
      <c r="C21" s="44" t="inlineStr">
        <is>
          <t>M</t>
        </is>
      </c>
      <c r="D21" s="45" t="n">
        <v>50</v>
      </c>
      <c r="E21" s="45" t="n"/>
      <c r="F21" s="45" t="n"/>
      <c r="G21" s="45">
        <f t="array" ref="G21">SUM(D21:F21)</f>
        <v/>
      </c>
      <c r="H21" s="121">
        <f t="array" ref="H21">VLOOKUP(A21,#REF!,5,0)</f>
        <v/>
      </c>
      <c r="I21" s="122" t="n">
        <v>0</v>
      </c>
      <c r="J21" s="123" t="n">
        <v>0</v>
      </c>
      <c r="K21" s="124" t="n">
        <v>0</v>
      </c>
      <c r="L21" s="123" t="n">
        <v>0</v>
      </c>
      <c r="M21" s="124" t="n">
        <v>0</v>
      </c>
      <c r="N21" s="124" t="n">
        <v>0</v>
      </c>
      <c r="O21" s="124" t="n">
        <v>0</v>
      </c>
      <c r="P21" s="124" t="n">
        <v>0</v>
      </c>
      <c r="Q21" s="124" t="n">
        <v>0</v>
      </c>
      <c r="R21" s="124" t="n">
        <v>0</v>
      </c>
      <c r="S21" s="124" t="n">
        <v>0</v>
      </c>
      <c r="T21" s="124" t="n">
        <v>0</v>
      </c>
      <c r="U21" s="124" t="n"/>
      <c r="V21" s="124" t="n"/>
      <c r="W21" s="125">
        <f t="array" ref="W21">SUM(I21:V21)</f>
        <v/>
      </c>
      <c r="X21" s="126" t="n">
        <v>0</v>
      </c>
      <c r="Y21" s="125">
        <f t="array" ref="Y21">W21+X21</f>
        <v/>
      </c>
      <c r="Z21" s="125">
        <f t="array" ref="Z21">G21-Y21</f>
        <v/>
      </c>
      <c r="AA21" s="121">
        <f t="array" ref="AA21">ROUND(W21*H21,2)</f>
        <v/>
      </c>
      <c r="AB21" s="127">
        <f t="array" ref="AB21">ROUND(X21*H21,2)</f>
        <v/>
      </c>
      <c r="AC21" s="121">
        <f t="array" ref="AC21">ROUND(AA21+AB21,2)</f>
        <v/>
      </c>
      <c r="AD21" s="127">
        <f t="array" ref="AD21">ROUND((G21*H21)-AC21,2)</f>
        <v/>
      </c>
      <c r="AE21" s="54">
        <f t="array" ref="AE21">_xlfn.IFERROR(ROUND(AC21/(G21*H21),2),0)</f>
        <v/>
      </c>
      <c r="AF21" s="7" t="n"/>
      <c r="AG21" s="7" t="n"/>
      <c r="AH21" s="7" t="n"/>
      <c r="AI21" s="7" t="n"/>
      <c r="AJ21" s="7" t="n"/>
      <c r="AK21" s="7" t="n"/>
      <c r="AL21" s="7" t="n"/>
    </row>
    <row r="22" ht="133.2" customHeight="1" s="104">
      <c r="A22" s="44" t="inlineStr">
        <is>
          <t>2.5</t>
        </is>
      </c>
      <c r="B22" s="44" t="inlineStr">
        <is>
          <t>DESCARTE DE LÂMPADAS DE ACORDO COM A LEGISLTAÇÃO AMBIENTAL VIGENTE</t>
        </is>
      </c>
      <c r="C22" s="44" t="inlineStr">
        <is>
          <t>UN</t>
        </is>
      </c>
      <c r="D22" s="45" t="n">
        <v>585</v>
      </c>
      <c r="E22" s="45" t="n"/>
      <c r="F22" s="45" t="n"/>
      <c r="G22" s="45">
        <f t="array" ref="G22">SUM(D22:F22)</f>
        <v/>
      </c>
      <c r="H22" s="121">
        <f t="array" ref="H22">VLOOKUP(A22,#REF!,5,0)</f>
        <v/>
      </c>
      <c r="I22" s="122" t="n">
        <v>0</v>
      </c>
      <c r="J22" s="123" t="n">
        <v>0</v>
      </c>
      <c r="K22" s="124" t="n">
        <v>0</v>
      </c>
      <c r="L22" s="123" t="n">
        <v>0</v>
      </c>
      <c r="M22" s="124" t="n">
        <v>0</v>
      </c>
      <c r="N22" s="124" t="n">
        <v>0</v>
      </c>
      <c r="O22" s="124" t="n">
        <v>0</v>
      </c>
      <c r="P22" s="124" t="n">
        <v>0</v>
      </c>
      <c r="Q22" s="124" t="n">
        <v>0</v>
      </c>
      <c r="R22" s="124" t="n">
        <v>0</v>
      </c>
      <c r="S22" s="124" t="n">
        <v>0</v>
      </c>
      <c r="T22" s="124" t="n">
        <v>0</v>
      </c>
      <c r="U22" s="124" t="n"/>
      <c r="V22" s="124" t="n"/>
      <c r="W22" s="125">
        <f t="array" ref="W22">SUM(I22:V22)</f>
        <v/>
      </c>
      <c r="X22" s="126" t="n">
        <v>0</v>
      </c>
      <c r="Y22" s="125">
        <f t="array" ref="Y22">W22+X22</f>
        <v/>
      </c>
      <c r="Z22" s="125">
        <f t="array" ref="Z22">G22-Y22</f>
        <v/>
      </c>
      <c r="AA22" s="121">
        <f t="array" ref="AA22">ROUND(W22*H22,2)</f>
        <v/>
      </c>
      <c r="AB22" s="127">
        <f t="array" ref="AB22">ROUND(X22*H22,2)</f>
        <v/>
      </c>
      <c r="AC22" s="121">
        <f t="array" ref="AC22">ROUND(AA22+AB22,2)</f>
        <v/>
      </c>
      <c r="AD22" s="127">
        <f t="array" ref="AD22">ROUND((G22*H22)-AC22,2)</f>
        <v/>
      </c>
      <c r="AE22" s="54">
        <f t="array" ref="AE22">_xlfn.IFERROR(ROUND(AC22/(G22*H22),2),0)</f>
        <v/>
      </c>
      <c r="AF22" s="7" t="n"/>
      <c r="AG22" s="7" t="n"/>
      <c r="AH22" s="7" t="n"/>
      <c r="AI22" s="7" t="n"/>
      <c r="AJ22" s="7" t="n"/>
      <c r="AK22" s="7" t="n"/>
      <c r="AL22" s="7" t="n"/>
    </row>
    <row r="23" ht="66.59999999999999" customHeight="1" s="104">
      <c r="A23" s="44" t="inlineStr">
        <is>
          <t>2.6</t>
        </is>
      </c>
      <c r="B23" s="44" t="inlineStr">
        <is>
          <t>EXECUÇÃO DE ATERRAMENTO SIMPLES</t>
        </is>
      </c>
      <c r="C23" s="44" t="inlineStr">
        <is>
          <t>UN</t>
        </is>
      </c>
      <c r="D23" s="45" t="n">
        <v>5</v>
      </c>
      <c r="E23" s="45" t="n"/>
      <c r="F23" s="45" t="n"/>
      <c r="G23" s="45">
        <f t="array" ref="G23">SUM(D23:F23)</f>
        <v/>
      </c>
      <c r="H23" s="121">
        <f t="array" ref="H23">VLOOKUP(A23,#REF!,5,0)</f>
        <v/>
      </c>
      <c r="I23" s="122" t="n">
        <v>0</v>
      </c>
      <c r="J23" s="123" t="n">
        <v>5</v>
      </c>
      <c r="K23" s="124" t="n">
        <v>0</v>
      </c>
      <c r="L23" s="123" t="n">
        <v>0</v>
      </c>
      <c r="M23" s="124" t="n">
        <v>0</v>
      </c>
      <c r="N23" s="124" t="n">
        <v>0</v>
      </c>
      <c r="O23" s="124" t="n">
        <v>0</v>
      </c>
      <c r="P23" s="124" t="n">
        <v>0</v>
      </c>
      <c r="Q23" s="124" t="n">
        <v>0</v>
      </c>
      <c r="R23" s="124" t="n">
        <v>0</v>
      </c>
      <c r="S23" s="124" t="n">
        <v>0</v>
      </c>
      <c r="T23" s="124" t="n">
        <v>0</v>
      </c>
      <c r="U23" s="124" t="n"/>
      <c r="V23" s="124" t="n"/>
      <c r="W23" s="125">
        <f t="array" ref="W23">SUM(I23:V23)</f>
        <v/>
      </c>
      <c r="X23" s="126" t="n">
        <v>0</v>
      </c>
      <c r="Y23" s="125">
        <f t="array" ref="Y23">W23+X23</f>
        <v/>
      </c>
      <c r="Z23" s="125">
        <f t="array" ref="Z23">G23-Y23</f>
        <v/>
      </c>
      <c r="AA23" s="121">
        <f t="array" ref="AA23">ROUND(W23*H23,2)</f>
        <v/>
      </c>
      <c r="AB23" s="127">
        <f t="array" ref="AB23">ROUND(X23*H23,2)</f>
        <v/>
      </c>
      <c r="AC23" s="121">
        <f t="array" ref="AC23">ROUND(AA23+AB23,2)</f>
        <v/>
      </c>
      <c r="AD23" s="127">
        <f t="array" ref="AD23">ROUND((G23*H23)-AC23,2)</f>
        <v/>
      </c>
      <c r="AE23" s="54">
        <f t="array" ref="AE23">_xlfn.IFERROR(ROUND(AC23/(G23*H23),2),0)</f>
        <v/>
      </c>
      <c r="AF23" s="7" t="n"/>
      <c r="AG23" s="7" t="n"/>
      <c r="AH23" s="7" t="n"/>
      <c r="AI23" s="7" t="n"/>
      <c r="AJ23" s="7" t="n"/>
      <c r="AK23" s="7" t="n"/>
      <c r="AL23" s="7" t="n"/>
    </row>
    <row r="24" ht="133.2" customHeight="1" s="104">
      <c r="A24" s="44" t="inlineStr">
        <is>
          <t>2.7</t>
        </is>
      </c>
      <c r="B24" s="44" t="inlineStr">
        <is>
          <t>EXECUÇÃO DE BASE ENGASTADA COM TUBO DE CONCRETO PARA POSTES DE ATÉ 10M DE ALTURA</t>
        </is>
      </c>
      <c r="C24" s="44" t="inlineStr">
        <is>
          <t>UN</t>
        </is>
      </c>
      <c r="D24" s="45" t="n">
        <v>100</v>
      </c>
      <c r="E24" s="45" t="n"/>
      <c r="F24" s="45" t="n"/>
      <c r="G24" s="45">
        <f t="array" ref="G24">SUM(D24:F24)</f>
        <v/>
      </c>
      <c r="H24" s="121">
        <f t="array" ref="H24">VLOOKUP(A24,#REF!,5,0)</f>
        <v/>
      </c>
      <c r="I24" s="122" t="n">
        <v>0</v>
      </c>
      <c r="J24" s="123" t="n">
        <v>5</v>
      </c>
      <c r="K24" s="124" t="n">
        <v>13</v>
      </c>
      <c r="L24" s="123" t="n">
        <v>0</v>
      </c>
      <c r="M24" s="124" t="n">
        <v>0</v>
      </c>
      <c r="N24" s="124" t="n">
        <v>0</v>
      </c>
      <c r="O24" s="124" t="n">
        <v>0</v>
      </c>
      <c r="P24" s="124" t="n">
        <v>0</v>
      </c>
      <c r="Q24" s="124" t="n">
        <v>0</v>
      </c>
      <c r="R24" s="124" t="n">
        <v>0</v>
      </c>
      <c r="S24" s="124" t="n">
        <v>0</v>
      </c>
      <c r="T24" s="124" t="n">
        <v>60</v>
      </c>
      <c r="U24" s="124" t="n"/>
      <c r="V24" s="124" t="n"/>
      <c r="W24" s="125">
        <f t="array" ref="W24">SUM(I24:V24)</f>
        <v/>
      </c>
      <c r="X24" s="126" t="n">
        <v>0</v>
      </c>
      <c r="Y24" s="125">
        <f t="array" ref="Y24">W24+X24</f>
        <v/>
      </c>
      <c r="Z24" s="125">
        <f t="array" ref="Z24">G24-Y24</f>
        <v/>
      </c>
      <c r="AA24" s="121">
        <f t="array" ref="AA24">ROUND(W24*H24,2)</f>
        <v/>
      </c>
      <c r="AB24" s="127">
        <f t="array" ref="AB24">ROUND(X24*H24,2)</f>
        <v/>
      </c>
      <c r="AC24" s="121">
        <f t="array" ref="AC24">ROUND(AA24+AB24,2)</f>
        <v/>
      </c>
      <c r="AD24" s="127">
        <f t="array" ref="AD24">ROUND((G24*H24)-AC24,2)</f>
        <v/>
      </c>
      <c r="AE24" s="54">
        <f t="array" ref="AE24">_xlfn.IFERROR(ROUND(AC24/(G24*H24),2),0)</f>
        <v/>
      </c>
      <c r="AF24" s="7" t="n"/>
      <c r="AG24" s="7" t="n"/>
      <c r="AH24" s="7" t="n"/>
      <c r="AI24" s="7" t="n"/>
      <c r="AJ24" s="7" t="n"/>
      <c r="AK24" s="7" t="n"/>
      <c r="AL24" s="7" t="n"/>
    </row>
    <row r="25" ht="133.2" customHeight="1" s="104">
      <c r="A25" s="44" t="inlineStr">
        <is>
          <t>2.8</t>
        </is>
      </c>
      <c r="B25" s="44" t="inlineStr">
        <is>
          <t>EXECUÇÃO DE BASE ENGASTADA COM TUBO DE CONCRETO PARA POSTES DE 11M ATÉ 15M DE ALTURA</t>
        </is>
      </c>
      <c r="C25" s="44" t="inlineStr">
        <is>
          <t>UN</t>
        </is>
      </c>
      <c r="D25" s="45" t="n">
        <v>25</v>
      </c>
      <c r="E25" s="45" t="n">
        <v>20</v>
      </c>
      <c r="F25" s="45" t="n"/>
      <c r="G25" s="45">
        <f t="array" ref="G25">SUM(D25:F25)</f>
        <v/>
      </c>
      <c r="H25" s="121">
        <f t="array" ref="H25">VLOOKUP(A25,#REF!,5,0)</f>
        <v/>
      </c>
      <c r="I25" s="122" t="n">
        <v>0</v>
      </c>
      <c r="J25" s="123" t="n">
        <v>0</v>
      </c>
      <c r="K25" s="124" t="n">
        <v>0</v>
      </c>
      <c r="L25" s="123" t="n">
        <v>1</v>
      </c>
      <c r="M25" s="124" t="n">
        <v>0</v>
      </c>
      <c r="N25" s="124" t="n">
        <v>6</v>
      </c>
      <c r="O25" s="124" t="n">
        <v>0</v>
      </c>
      <c r="P25" s="124" t="n">
        <v>0</v>
      </c>
      <c r="Q25" s="124" t="n">
        <v>0</v>
      </c>
      <c r="R25" s="124" t="n">
        <v>0</v>
      </c>
      <c r="S25" s="124" t="n">
        <v>0</v>
      </c>
      <c r="T25" s="124" t="n">
        <v>0</v>
      </c>
      <c r="U25" s="124" t="n"/>
      <c r="V25" s="124" t="n"/>
      <c r="W25" s="125">
        <f t="array" ref="W25">SUM(I25:V25)</f>
        <v/>
      </c>
      <c r="X25" s="126" t="n">
        <v>0</v>
      </c>
      <c r="Y25" s="125">
        <f t="array" ref="Y25">W25+X25</f>
        <v/>
      </c>
      <c r="Z25" s="125">
        <f t="array" ref="Z25">G25-Y25</f>
        <v/>
      </c>
      <c r="AA25" s="121">
        <f t="array" ref="AA25">ROUND(W25*H25,2)</f>
        <v/>
      </c>
      <c r="AB25" s="127">
        <f t="array" ref="AB25">ROUND(X25*H25,2)</f>
        <v/>
      </c>
      <c r="AC25" s="121">
        <f t="array" ref="AC25">ROUND(AA25+AB25,2)</f>
        <v/>
      </c>
      <c r="AD25" s="127">
        <f t="array" ref="AD25">ROUND((G25*H25)-AC25,2)</f>
        <v/>
      </c>
      <c r="AE25" s="54">
        <f t="array" ref="AE25">_xlfn.IFERROR(ROUND(AC25/(G25*H25),2),0)</f>
        <v/>
      </c>
      <c r="AF25" s="7" t="n"/>
      <c r="AG25" s="7" t="n"/>
      <c r="AH25" s="7" t="n"/>
      <c r="AI25" s="7" t="n"/>
      <c r="AJ25" s="7" t="n"/>
      <c r="AK25" s="7" t="n"/>
      <c r="AL25" s="7" t="n"/>
    </row>
    <row r="26" ht="66.59999999999999" customHeight="1" s="104">
      <c r="A26" s="44" t="inlineStr">
        <is>
          <t>2.9</t>
        </is>
      </c>
      <c r="B26" s="44" t="inlineStr">
        <is>
          <t>FECHAMENTO DE CAVA</t>
        </is>
      </c>
      <c r="C26" s="44" t="inlineStr">
        <is>
          <t>UN</t>
        </is>
      </c>
      <c r="D26" s="45" t="n">
        <v>25</v>
      </c>
      <c r="E26" s="45" t="n"/>
      <c r="F26" s="45" t="n"/>
      <c r="G26" s="45">
        <f t="array" ref="G26">SUM(D26:F26)</f>
        <v/>
      </c>
      <c r="H26" s="121">
        <f t="array" ref="H26">VLOOKUP(A26,#REF!,5,0)</f>
        <v/>
      </c>
      <c r="I26" s="122" t="n">
        <v>0</v>
      </c>
      <c r="J26" s="123" t="n">
        <v>0</v>
      </c>
      <c r="K26" s="124" t="n">
        <v>0</v>
      </c>
      <c r="L26" s="123" t="n">
        <v>0</v>
      </c>
      <c r="M26" s="124" t="n">
        <v>0</v>
      </c>
      <c r="N26" s="124" t="n">
        <v>13</v>
      </c>
      <c r="O26" s="124" t="n">
        <v>5</v>
      </c>
      <c r="P26" s="124" t="n">
        <v>0</v>
      </c>
      <c r="Q26" s="124" t="n">
        <v>0</v>
      </c>
      <c r="R26" s="124" t="n">
        <v>0</v>
      </c>
      <c r="S26" s="124" t="n">
        <v>0</v>
      </c>
      <c r="T26" s="124" t="n">
        <v>0</v>
      </c>
      <c r="U26" s="124" t="n"/>
      <c r="V26" s="124" t="n"/>
      <c r="W26" s="125">
        <f t="array" ref="W26">SUM(I26:V26)</f>
        <v/>
      </c>
      <c r="X26" s="126" t="n">
        <v>0</v>
      </c>
      <c r="Y26" s="125">
        <f t="array" ref="Y26">W26+X26</f>
        <v/>
      </c>
      <c r="Z26" s="125">
        <f t="array" ref="Z26">G26-Y26</f>
        <v/>
      </c>
      <c r="AA26" s="121">
        <f t="array" ref="AA26">ROUND(W26*H26,2)</f>
        <v/>
      </c>
      <c r="AB26" s="127">
        <f t="array" ref="AB26">ROUND(X26*H26,2)</f>
        <v/>
      </c>
      <c r="AC26" s="121">
        <f t="array" ref="AC26">ROUND(AA26+AB26,2)</f>
        <v/>
      </c>
      <c r="AD26" s="127">
        <f t="array" ref="AD26">ROUND((G26*H26)-AC26,2)</f>
        <v/>
      </c>
      <c r="AE26" s="54">
        <f t="array" ref="AE26">_xlfn.IFERROR(ROUND(AC26/(G26*H26),2),0)</f>
        <v/>
      </c>
      <c r="AF26" s="7" t="n"/>
      <c r="AG26" s="7" t="n"/>
      <c r="AH26" s="7" t="n"/>
      <c r="AI26" s="7" t="n"/>
      <c r="AJ26" s="7" t="n"/>
      <c r="AK26" s="7" t="n"/>
      <c r="AL26" s="7" t="n"/>
    </row>
    <row r="27" ht="133.2" customHeight="1" s="104">
      <c r="A27" s="44" t="inlineStr">
        <is>
          <t>2.10</t>
        </is>
      </c>
      <c r="B27" s="44" t="inlineStr">
        <is>
          <t>IDENTIFICAÇÃO DE ILUMINAÇÃO COM PLAQUETA DE ALUMÍNIO</t>
        </is>
      </c>
      <c r="C27" s="44" t="inlineStr">
        <is>
          <t>UN</t>
        </is>
      </c>
      <c r="D27" s="45" t="n">
        <v>1756</v>
      </c>
      <c r="E27" s="45" t="n"/>
      <c r="F27" s="45" t="n"/>
      <c r="G27" s="45">
        <f t="array" ref="G27">SUM(D27:F27)</f>
        <v/>
      </c>
      <c r="H27" s="121">
        <f t="array" ref="H27">VLOOKUP(A27,#REF!,5,0)</f>
        <v/>
      </c>
      <c r="I27" s="122" t="n">
        <v>0</v>
      </c>
      <c r="J27" s="123" t="n">
        <v>0</v>
      </c>
      <c r="K27" s="124" t="n">
        <v>0</v>
      </c>
      <c r="L27" s="123" t="n">
        <v>0</v>
      </c>
      <c r="M27" s="124" t="n">
        <v>0</v>
      </c>
      <c r="N27" s="124" t="n">
        <v>0</v>
      </c>
      <c r="O27" s="124" t="n">
        <v>0</v>
      </c>
      <c r="P27" s="124" t="n">
        <v>0</v>
      </c>
      <c r="Q27" s="124" t="n">
        <v>0</v>
      </c>
      <c r="R27" s="124" t="n">
        <v>0</v>
      </c>
      <c r="S27" s="124" t="n">
        <v>0</v>
      </c>
      <c r="T27" s="124" t="n">
        <v>0</v>
      </c>
      <c r="U27" s="124" t="n"/>
      <c r="V27" s="124" t="n"/>
      <c r="W27" s="125">
        <f t="array" ref="W27">SUM(I27:V27)</f>
        <v/>
      </c>
      <c r="X27" s="126" t="n">
        <v>0</v>
      </c>
      <c r="Y27" s="125">
        <f t="array" ref="Y27">W27+X27</f>
        <v/>
      </c>
      <c r="Z27" s="125">
        <f t="array" ref="Z27">G27-Y27</f>
        <v/>
      </c>
      <c r="AA27" s="121">
        <f t="array" ref="AA27">ROUND(W27*H27,2)</f>
        <v/>
      </c>
      <c r="AB27" s="127">
        <f t="array" ref="AB27">ROUND(X27*H27,2)</f>
        <v/>
      </c>
      <c r="AC27" s="121">
        <f t="array" ref="AC27">ROUND(AA27+AB27,2)</f>
        <v/>
      </c>
      <c r="AD27" s="127">
        <f t="array" ref="AD27">ROUND((G27*H27)-AC27,2)</f>
        <v/>
      </c>
      <c r="AE27" s="54">
        <f t="array" ref="AE27">_xlfn.IFERROR(ROUND(AC27/(G27*H27),2),0)</f>
        <v/>
      </c>
      <c r="AF27" s="7" t="n"/>
      <c r="AG27" s="7" t="n"/>
      <c r="AH27" s="7" t="n"/>
      <c r="AI27" s="7" t="n"/>
      <c r="AJ27" s="7" t="n"/>
      <c r="AK27" s="7" t="n"/>
      <c r="AL27" s="7" t="n"/>
    </row>
    <row r="28" ht="66.59999999999999" customHeight="1" s="104">
      <c r="A28" s="44" t="inlineStr">
        <is>
          <t>2.11</t>
        </is>
      </c>
      <c r="B28" s="44" t="inlineStr">
        <is>
          <t>INSTALAÇÃO DE CONDUTOR PARA ATERRAMENTO</t>
        </is>
      </c>
      <c r="C28" s="44" t="inlineStr">
        <is>
          <t>M</t>
        </is>
      </c>
      <c r="D28" s="45" t="n">
        <v>1000</v>
      </c>
      <c r="E28" s="45" t="n"/>
      <c r="F28" s="45" t="n"/>
      <c r="G28" s="45">
        <f t="array" ref="G28">SUM(D28:F28)</f>
        <v/>
      </c>
      <c r="H28" s="121">
        <f t="array" ref="H28">VLOOKUP(A28,#REF!,5,0)</f>
        <v/>
      </c>
      <c r="I28" s="122" t="n">
        <v>0</v>
      </c>
      <c r="J28" s="123" t="n">
        <v>1</v>
      </c>
      <c r="K28" s="124" t="n">
        <v>48</v>
      </c>
      <c r="L28" s="123" t="n">
        <v>0</v>
      </c>
      <c r="M28" s="124" t="n">
        <v>15</v>
      </c>
      <c r="N28" s="124" t="n">
        <v>0</v>
      </c>
      <c r="O28" s="124" t="n">
        <v>10</v>
      </c>
      <c r="P28" s="124" t="n">
        <v>10</v>
      </c>
      <c r="Q28" s="124" t="n">
        <v>0</v>
      </c>
      <c r="R28" s="124" t="n">
        <v>0</v>
      </c>
      <c r="S28" s="124" t="n">
        <v>0</v>
      </c>
      <c r="T28" s="124" t="n">
        <v>0</v>
      </c>
      <c r="U28" s="124" t="n"/>
      <c r="V28" s="124" t="n"/>
      <c r="W28" s="125">
        <f t="array" ref="W28">SUM(I28:V28)</f>
        <v/>
      </c>
      <c r="X28" s="126" t="n">
        <v>0</v>
      </c>
      <c r="Y28" s="125">
        <f t="array" ref="Y28">W28+X28</f>
        <v/>
      </c>
      <c r="Z28" s="125">
        <f t="array" ref="Z28">G28-Y28</f>
        <v/>
      </c>
      <c r="AA28" s="121">
        <f t="array" ref="AA28">ROUND(W28*H28,2)</f>
        <v/>
      </c>
      <c r="AB28" s="127">
        <f t="array" ref="AB28">ROUND(X28*H28,2)</f>
        <v/>
      </c>
      <c r="AC28" s="121">
        <f t="array" ref="AC28">ROUND(AA28+AB28,2)</f>
        <v/>
      </c>
      <c r="AD28" s="127">
        <f t="array" ref="AD28">ROUND((G28*H28)-AC28,2)</f>
        <v/>
      </c>
      <c r="AE28" s="54">
        <f t="array" ref="AE28">_xlfn.IFERROR(ROUND(AC28/(G28*H28),2),0)</f>
        <v/>
      </c>
      <c r="AF28" s="7" t="n"/>
      <c r="AG28" s="7" t="n"/>
      <c r="AH28" s="7" t="n"/>
      <c r="AI28" s="7" t="n"/>
      <c r="AJ28" s="7" t="n"/>
      <c r="AK28" s="7" t="n"/>
      <c r="AL28" s="7" t="n"/>
    </row>
    <row r="29" ht="133.2" customHeight="1" s="104">
      <c r="A29" s="44" t="inlineStr">
        <is>
          <t>2.12</t>
        </is>
      </c>
      <c r="B29" s="44" t="inlineStr">
        <is>
          <t>INSTALAÇÃO DE CAIXA DE CONCRETO PRÉ-FABRICADA COM TAMPA, DIMENSÕES DE 40X40X40CM</t>
        </is>
      </c>
      <c r="C29" s="44" t="inlineStr">
        <is>
          <t>UN</t>
        </is>
      </c>
      <c r="D29" s="45" t="n">
        <v>100</v>
      </c>
      <c r="E29" s="45" t="n"/>
      <c r="F29" s="45" t="n"/>
      <c r="G29" s="45">
        <f t="array" ref="G29">SUM(D29:F29)</f>
        <v/>
      </c>
      <c r="H29" s="121">
        <f t="array" ref="H29">VLOOKUP(A29,#REF!,5,0)</f>
        <v/>
      </c>
      <c r="I29" s="122" t="n">
        <v>0</v>
      </c>
      <c r="J29" s="123" t="n">
        <v>0</v>
      </c>
      <c r="K29" s="124" t="n">
        <v>8</v>
      </c>
      <c r="L29" s="123" t="n">
        <v>0</v>
      </c>
      <c r="M29" s="124" t="n">
        <v>0</v>
      </c>
      <c r="N29" s="124" t="n">
        <v>9</v>
      </c>
      <c r="O29" s="124" t="n">
        <v>0</v>
      </c>
      <c r="P29" s="124" t="n">
        <v>0</v>
      </c>
      <c r="Q29" s="124" t="n">
        <v>17</v>
      </c>
      <c r="R29" s="124" t="n">
        <v>0</v>
      </c>
      <c r="S29" s="124" t="n">
        <v>0</v>
      </c>
      <c r="T29" s="124" t="n">
        <v>0</v>
      </c>
      <c r="U29" s="124" t="n"/>
      <c r="V29" s="124" t="n"/>
      <c r="W29" s="125">
        <f t="array" ref="W29">SUM(I29:V29)</f>
        <v/>
      </c>
      <c r="X29" s="126" t="n">
        <v>0</v>
      </c>
      <c r="Y29" s="125">
        <f t="array" ref="Y29">W29+X29</f>
        <v/>
      </c>
      <c r="Z29" s="125">
        <f t="array" ref="Z29">G29-Y29</f>
        <v/>
      </c>
      <c r="AA29" s="121">
        <f t="array" ref="AA29">ROUND(W29*H29,2)</f>
        <v/>
      </c>
      <c r="AB29" s="127">
        <f t="array" ref="AB29">ROUND(X29*H29,2)</f>
        <v/>
      </c>
      <c r="AC29" s="121">
        <f t="array" ref="AC29">ROUND(AA29+AB29,2)</f>
        <v/>
      </c>
      <c r="AD29" s="127">
        <f t="array" ref="AD29">ROUND((G29*H29)-AC29,2)</f>
        <v/>
      </c>
      <c r="AE29" s="54">
        <f t="array" ref="AE29">_xlfn.IFERROR(ROUND(AC29/(G29*H29),2),0)</f>
        <v/>
      </c>
      <c r="AF29" s="7" t="n"/>
      <c r="AG29" s="7" t="n"/>
      <c r="AH29" s="7" t="n"/>
      <c r="AI29" s="7" t="n"/>
      <c r="AJ29" s="7" t="n"/>
      <c r="AK29" s="7" t="n"/>
      <c r="AL29" s="7" t="n"/>
    </row>
    <row r="30" ht="133.2" customHeight="1" s="104">
      <c r="A30" s="44" t="inlineStr">
        <is>
          <t>2.13</t>
        </is>
      </c>
      <c r="B30" s="44" t="inlineStr">
        <is>
          <t>INSTALAÇÃO DE CAIXA DE CONCRETO PRÉ-FABRICADA, DIMENSÕES DE 65CM</t>
        </is>
      </c>
      <c r="C30" s="44" t="inlineStr">
        <is>
          <t>UN</t>
        </is>
      </c>
      <c r="D30" s="45" t="n">
        <v>25</v>
      </c>
      <c r="E30" s="45" t="n"/>
      <c r="F30" s="45" t="n"/>
      <c r="G30" s="45">
        <f t="array" ref="G30">SUM(D30:F30)</f>
        <v/>
      </c>
      <c r="H30" s="121">
        <f t="array" ref="H30">VLOOKUP(A30,#REF!,5,0)</f>
        <v/>
      </c>
      <c r="I30" s="122" t="n">
        <v>0</v>
      </c>
      <c r="J30" s="123" t="n">
        <v>0</v>
      </c>
      <c r="K30" s="124" t="n">
        <v>0</v>
      </c>
      <c r="L30" s="123" t="n">
        <v>0</v>
      </c>
      <c r="M30" s="124" t="n">
        <v>0</v>
      </c>
      <c r="N30" s="124" t="n">
        <v>0</v>
      </c>
      <c r="O30" s="124" t="n">
        <v>0</v>
      </c>
      <c r="P30" s="124" t="n">
        <v>0</v>
      </c>
      <c r="Q30" s="124" t="n">
        <v>0</v>
      </c>
      <c r="R30" s="124" t="n">
        <v>0</v>
      </c>
      <c r="S30" s="124" t="n">
        <v>0</v>
      </c>
      <c r="T30" s="124" t="n">
        <v>0</v>
      </c>
      <c r="U30" s="124" t="n"/>
      <c r="V30" s="124" t="n"/>
      <c r="W30" s="125">
        <f t="array" ref="W30">SUM(I30:V30)</f>
        <v/>
      </c>
      <c r="X30" s="126" t="n">
        <v>0</v>
      </c>
      <c r="Y30" s="125">
        <f t="array" ref="Y30">W30+X30</f>
        <v/>
      </c>
      <c r="Z30" s="125">
        <f t="array" ref="Z30">G30-Y30</f>
        <v/>
      </c>
      <c r="AA30" s="121">
        <f t="array" ref="AA30">ROUND(W30*H30,2)</f>
        <v/>
      </c>
      <c r="AB30" s="127">
        <f t="array" ref="AB30">ROUND(X30*H30,2)</f>
        <v/>
      </c>
      <c r="AC30" s="121">
        <f t="array" ref="AC30">ROUND(AA30+AB30,2)</f>
        <v/>
      </c>
      <c r="AD30" s="127">
        <f t="array" ref="AD30">ROUND((G30*H30)-AC30,2)</f>
        <v/>
      </c>
      <c r="AE30" s="54">
        <f t="array" ref="AE30">_xlfn.IFERROR(ROUND(AC30/(G30*H30),2),0)</f>
        <v/>
      </c>
      <c r="AF30" s="7" t="n"/>
      <c r="AG30" s="7" t="n"/>
      <c r="AH30" s="7" t="n"/>
      <c r="AI30" s="7" t="n"/>
      <c r="AJ30" s="7" t="n"/>
      <c r="AK30" s="7" t="n"/>
      <c r="AL30" s="7" t="n"/>
    </row>
    <row r="31" ht="133.2" customHeight="1" s="104">
      <c r="A31" s="44" t="inlineStr">
        <is>
          <t>2.14</t>
        </is>
      </c>
      <c r="B31" s="44" t="inlineStr">
        <is>
          <t>INSTALAÇÃO DE CHAVE DE COMANDO PARA ILUMINAÇÃO PÚBLICA</t>
        </is>
      </c>
      <c r="C31" s="44" t="inlineStr">
        <is>
          <t>UN</t>
        </is>
      </c>
      <c r="D31" s="45" t="n">
        <v>25</v>
      </c>
      <c r="E31" s="45" t="n">
        <v>50</v>
      </c>
      <c r="F31" s="45" t="n"/>
      <c r="G31" s="45">
        <f t="array" ref="G31">SUM(D31:F31)</f>
        <v/>
      </c>
      <c r="H31" s="121">
        <f t="array" ref="H31">VLOOKUP(A31,#REF!,5,0)</f>
        <v/>
      </c>
      <c r="I31" s="122" t="n">
        <v>0</v>
      </c>
      <c r="J31" s="123" t="n">
        <v>1</v>
      </c>
      <c r="K31" s="124" t="n">
        <v>2</v>
      </c>
      <c r="L31" s="123" t="n">
        <v>5</v>
      </c>
      <c r="M31" s="124" t="n">
        <v>2</v>
      </c>
      <c r="N31" s="124" t="n">
        <v>4</v>
      </c>
      <c r="O31" s="124" t="n">
        <v>1</v>
      </c>
      <c r="P31" s="124" t="n">
        <v>3</v>
      </c>
      <c r="Q31" s="124" t="n">
        <v>6</v>
      </c>
      <c r="R31" s="124" t="n">
        <v>2</v>
      </c>
      <c r="S31" s="124" t="n">
        <v>1</v>
      </c>
      <c r="T31" s="124" t="n">
        <v>1</v>
      </c>
      <c r="U31" s="124" t="n"/>
      <c r="V31" s="124" t="n"/>
      <c r="W31" s="125">
        <f t="array" ref="W31">SUM(I31:V31)</f>
        <v/>
      </c>
      <c r="X31" s="126" t="n">
        <v>0</v>
      </c>
      <c r="Y31" s="125">
        <f t="array" ref="Y31">W31+X31</f>
        <v/>
      </c>
      <c r="Z31" s="125">
        <f t="array" ref="Z31">G31-Y31</f>
        <v/>
      </c>
      <c r="AA31" s="121">
        <f t="array" ref="AA31">ROUND(W31*H31,2)</f>
        <v/>
      </c>
      <c r="AB31" s="127">
        <f t="array" ref="AB31">ROUND(X31*H31,2)</f>
        <v/>
      </c>
      <c r="AC31" s="121">
        <f t="array" ref="AC31">ROUND(AA31+AB31,2)</f>
        <v/>
      </c>
      <c r="AD31" s="127">
        <f t="array" ref="AD31">ROUND((G31*H31)-AC31,2)</f>
        <v/>
      </c>
      <c r="AE31" s="54">
        <f t="array" ref="AE31">_xlfn.IFERROR(ROUND(AC31/(G31*H31),2),0)</f>
        <v/>
      </c>
      <c r="AF31" s="7" t="n"/>
      <c r="AG31" s="7" t="n"/>
      <c r="AH31" s="7" t="n"/>
      <c r="AI31" s="7" t="n"/>
      <c r="AJ31" s="7" t="n"/>
      <c r="AK31" s="7" t="n"/>
      <c r="AL31" s="7" t="n"/>
    </row>
    <row r="32" ht="133.2" customHeight="1" s="104">
      <c r="A32" s="44" t="inlineStr">
        <is>
          <t>2.15</t>
        </is>
      </c>
      <c r="B32" s="44" t="inlineStr">
        <is>
          <t>INSTALAÇÃO DE CONDUTORES DE BAIXA TENSÃO AÉREOS DE BITOLA ATÉ 70 MM2</t>
        </is>
      </c>
      <c r="C32" s="44" t="inlineStr">
        <is>
          <t>M</t>
        </is>
      </c>
      <c r="D32" s="45" t="n">
        <v>250</v>
      </c>
      <c r="E32" s="45" t="n">
        <v>5000</v>
      </c>
      <c r="F32" s="45" t="n"/>
      <c r="G32" s="45">
        <f t="array" ref="G32">SUM(D32:F32)</f>
        <v/>
      </c>
      <c r="H32" s="121">
        <f t="array" ref="H32">VLOOKUP(A32,#REF!,5,0)</f>
        <v/>
      </c>
      <c r="I32" s="122" t="n">
        <v>0</v>
      </c>
      <c r="J32" s="123" t="n">
        <v>0</v>
      </c>
      <c r="K32" s="124" t="n">
        <v>0</v>
      </c>
      <c r="L32" s="123" t="n">
        <v>0</v>
      </c>
      <c r="M32" s="124" t="n">
        <v>0</v>
      </c>
      <c r="N32" s="124" t="n">
        <v>0</v>
      </c>
      <c r="O32" s="124" t="n">
        <v>0</v>
      </c>
      <c r="P32" s="124" t="n">
        <v>0</v>
      </c>
      <c r="Q32" s="124" t="n">
        <v>0</v>
      </c>
      <c r="R32" s="124" t="n">
        <v>0</v>
      </c>
      <c r="S32" s="124" t="n">
        <v>0</v>
      </c>
      <c r="T32" s="124" t="n">
        <v>0</v>
      </c>
      <c r="U32" s="124" t="n"/>
      <c r="V32" s="124" t="n"/>
      <c r="W32" s="125">
        <f t="array" ref="W32">SUM(I32:V32)</f>
        <v/>
      </c>
      <c r="X32" s="126" t="n">
        <v>0</v>
      </c>
      <c r="Y32" s="125">
        <f t="array" ref="Y32">W32+X32</f>
        <v/>
      </c>
      <c r="Z32" s="125">
        <f t="array" ref="Z32">G32-Y32</f>
        <v/>
      </c>
      <c r="AA32" s="121">
        <f t="array" ref="AA32">ROUND(W32*H32,2)</f>
        <v/>
      </c>
      <c r="AB32" s="127">
        <f t="array" ref="AB32">ROUND(X32*H32,2)</f>
        <v/>
      </c>
      <c r="AC32" s="121">
        <f t="array" ref="AC32">ROUND(AA32+AB32,2)</f>
        <v/>
      </c>
      <c r="AD32" s="127">
        <f t="array" ref="AD32">ROUND((G32*H32)-AC32,2)</f>
        <v/>
      </c>
      <c r="AE32" s="54">
        <f t="array" ref="AE32">_xlfn.IFERROR(ROUND(AC32/(G32*H32),2),0)</f>
        <v/>
      </c>
      <c r="AF32" s="7" t="n"/>
      <c r="AG32" s="7" t="n"/>
      <c r="AH32" s="7" t="n"/>
      <c r="AI32" s="7" t="n"/>
      <c r="AJ32" s="7" t="n"/>
      <c r="AK32" s="7" t="n"/>
      <c r="AL32" s="7" t="n"/>
    </row>
    <row r="33" ht="199.8" customHeight="1" s="104">
      <c r="A33" s="44" t="inlineStr">
        <is>
          <t>2.16</t>
        </is>
      </c>
      <c r="B33" s="44" t="inlineStr">
        <is>
          <t>INSTALAÇÃO DE CONDUTORES DE BAIXA TENSÃO, EMBUTIDOS EM ELETRODUTOS OU ENTERRADOS, DE BITOLA ATÉ 70 MM2</t>
        </is>
      </c>
      <c r="C33" s="44" t="inlineStr">
        <is>
          <t>M</t>
        </is>
      </c>
      <c r="D33" s="45" t="n">
        <v>250</v>
      </c>
      <c r="E33" s="45" t="n">
        <v>1000</v>
      </c>
      <c r="F33" s="45" t="n"/>
      <c r="G33" s="45">
        <f t="array" ref="G33">SUM(D33:F33)</f>
        <v/>
      </c>
      <c r="H33" s="121">
        <f t="array" ref="H33">VLOOKUP(A33,#REF!,5,0)</f>
        <v/>
      </c>
      <c r="I33" s="122" t="n">
        <v>0</v>
      </c>
      <c r="J33" s="123" t="n">
        <v>0</v>
      </c>
      <c r="K33" s="124" t="n">
        <v>0</v>
      </c>
      <c r="L33" s="123" t="n">
        <v>0</v>
      </c>
      <c r="M33" s="124" t="n">
        <v>0</v>
      </c>
      <c r="N33" s="124" t="n">
        <v>198</v>
      </c>
      <c r="O33" s="124" t="n">
        <v>0</v>
      </c>
      <c r="P33" s="124" t="n">
        <v>0</v>
      </c>
      <c r="Q33" s="124" t="n">
        <v>0</v>
      </c>
      <c r="R33" s="124" t="n">
        <v>0</v>
      </c>
      <c r="S33" s="124" t="n">
        <v>0</v>
      </c>
      <c r="T33" s="124" t="n">
        <v>0</v>
      </c>
      <c r="U33" s="124" t="n"/>
      <c r="V33" s="124" t="n"/>
      <c r="W33" s="125">
        <f t="array" ref="W33">SUM(I33:V33)</f>
        <v/>
      </c>
      <c r="X33" s="126" t="n">
        <v>0</v>
      </c>
      <c r="Y33" s="125">
        <f t="array" ref="Y33">W33+X33</f>
        <v/>
      </c>
      <c r="Z33" s="125">
        <f t="array" ref="Z33">G33-Y33</f>
        <v/>
      </c>
      <c r="AA33" s="121">
        <f t="array" ref="AA33">ROUND(W33*H33,2)</f>
        <v/>
      </c>
      <c r="AB33" s="127">
        <f t="array" ref="AB33">ROUND(X33*H33,2)</f>
        <v/>
      </c>
      <c r="AC33" s="121">
        <f t="array" ref="AC33">ROUND(AA33+AB33,2)</f>
        <v/>
      </c>
      <c r="AD33" s="127">
        <f t="array" ref="AD33">ROUND((G33*H33)-AC33,2)</f>
        <v/>
      </c>
      <c r="AE33" s="54">
        <f t="array" ref="AE33">_xlfn.IFERROR(ROUND(AC33/(G33*H33),2),0)</f>
        <v/>
      </c>
      <c r="AF33" s="7" t="n"/>
      <c r="AG33" s="7" t="n"/>
      <c r="AH33" s="7" t="n"/>
      <c r="AI33" s="7" t="n"/>
      <c r="AJ33" s="7" t="n"/>
      <c r="AK33" s="7" t="n"/>
      <c r="AL33" s="7" t="n"/>
    </row>
    <row r="34" ht="133.2" customHeight="1" s="104">
      <c r="A34" s="44" t="inlineStr">
        <is>
          <t>2.17</t>
        </is>
      </c>
      <c r="B34" s="44" t="inlineStr">
        <is>
          <t>INSTALAÇÃO DE CORDA LUMINOSA COM DIÂMETRO ATÉ 13MM</t>
        </is>
      </c>
      <c r="C34" s="44" t="inlineStr">
        <is>
          <t>M</t>
        </is>
      </c>
      <c r="D34" s="45" t="n">
        <v>20</v>
      </c>
      <c r="E34" s="45" t="n"/>
      <c r="F34" s="45" t="n">
        <v>3300</v>
      </c>
      <c r="G34" s="45">
        <f t="array" ref="G34">SUM(D34:F34)</f>
        <v/>
      </c>
      <c r="H34" s="121">
        <f t="array" ref="H34">VLOOKUP(A34,#REF!,5,0)</f>
        <v/>
      </c>
      <c r="I34" s="122" t="n">
        <v>2841</v>
      </c>
      <c r="J34" s="123" t="n">
        <v>0</v>
      </c>
      <c r="K34" s="124" t="n">
        <v>96</v>
      </c>
      <c r="L34" s="123" t="n">
        <v>96</v>
      </c>
      <c r="M34" s="124" t="n">
        <v>0</v>
      </c>
      <c r="N34" s="124" t="n">
        <v>0</v>
      </c>
      <c r="O34" s="124" t="n">
        <v>0</v>
      </c>
      <c r="P34" s="124" t="n">
        <v>0</v>
      </c>
      <c r="Q34" s="124" t="n">
        <v>0</v>
      </c>
      <c r="R34" s="124" t="n">
        <v>0</v>
      </c>
      <c r="S34" s="124" t="n">
        <v>0</v>
      </c>
      <c r="T34" s="124" t="n">
        <v>0</v>
      </c>
      <c r="U34" s="124" t="n"/>
      <c r="V34" s="124" t="n"/>
      <c r="W34" s="125">
        <f t="array" ref="W34">SUM(I34:V34)</f>
        <v/>
      </c>
      <c r="X34" s="126" t="n">
        <v>0</v>
      </c>
      <c r="Y34" s="125">
        <f t="array" ref="Y34">W34+X34</f>
        <v/>
      </c>
      <c r="Z34" s="125">
        <f t="array" ref="Z34">G34-Y34</f>
        <v/>
      </c>
      <c r="AA34" s="121">
        <f t="array" ref="AA34">ROUND(W34*H34,2)</f>
        <v/>
      </c>
      <c r="AB34" s="127">
        <f t="array" ref="AB34">ROUND(X34*H34,2)</f>
        <v/>
      </c>
      <c r="AC34" s="121">
        <f t="array" ref="AC34">ROUND(AA34+AB34,2)</f>
        <v/>
      </c>
      <c r="AD34" s="127">
        <f t="array" ref="AD34">ROUND((G34*H34)-AC34,2)</f>
        <v/>
      </c>
      <c r="AE34" s="54">
        <f t="array" ref="AE34">_xlfn.IFERROR(ROUND(AC34/(G34*H34),2),0)</f>
        <v/>
      </c>
      <c r="AF34" s="7" t="n"/>
      <c r="AG34" s="7" t="n"/>
      <c r="AH34" s="7" t="n"/>
      <c r="AI34" s="133" t="n"/>
      <c r="AJ34" s="7" t="n"/>
      <c r="AK34" s="7" t="n"/>
      <c r="AL34" s="7" t="n"/>
    </row>
    <row r="35" ht="66.59999999999999" customHeight="1" s="104">
      <c r="A35" s="44" t="inlineStr">
        <is>
          <t>2.18</t>
        </is>
      </c>
      <c r="B35" s="44" t="inlineStr">
        <is>
          <t>INSTALAÇÃO DE CORDÃO COM 100 MICRO LÂMPADAS</t>
        </is>
      </c>
      <c r="C35" s="44" t="inlineStr">
        <is>
          <t>UN</t>
        </is>
      </c>
      <c r="D35" s="45" t="n">
        <v>65</v>
      </c>
      <c r="E35" s="45" t="n"/>
      <c r="F35" s="45" t="n"/>
      <c r="G35" s="45">
        <f t="array" ref="G35">SUM(D35:F35)</f>
        <v/>
      </c>
      <c r="H35" s="121">
        <f t="array" ref="H35">VLOOKUP(A35,#REF!,5,0)</f>
        <v/>
      </c>
      <c r="I35" s="122" t="n">
        <v>0</v>
      </c>
      <c r="J35" s="123" t="n">
        <v>0</v>
      </c>
      <c r="K35" s="124" t="n">
        <v>0</v>
      </c>
      <c r="L35" s="123" t="n">
        <v>0</v>
      </c>
      <c r="M35" s="124" t="n">
        <v>0</v>
      </c>
      <c r="N35" s="124" t="n">
        <v>0</v>
      </c>
      <c r="O35" s="124" t="n">
        <v>0</v>
      </c>
      <c r="P35" s="124" t="n">
        <v>0</v>
      </c>
      <c r="Q35" s="124" t="n">
        <v>0</v>
      </c>
      <c r="R35" s="124" t="n">
        <v>0</v>
      </c>
      <c r="S35" s="124" t="n">
        <v>0</v>
      </c>
      <c r="T35" s="124" t="n">
        <v>0</v>
      </c>
      <c r="U35" s="124" t="n"/>
      <c r="V35" s="124" t="n"/>
      <c r="W35" s="125">
        <f t="array" ref="W35">SUM(I35:V35)</f>
        <v/>
      </c>
      <c r="X35" s="126" t="n">
        <v>0</v>
      </c>
      <c r="Y35" s="125">
        <f t="array" ref="Y35">W35+X35</f>
        <v/>
      </c>
      <c r="Z35" s="125">
        <f t="array" ref="Z35">G35-Y35</f>
        <v/>
      </c>
      <c r="AA35" s="121">
        <f t="array" ref="AA35">ROUND(W35*H35,2)</f>
        <v/>
      </c>
      <c r="AB35" s="127">
        <f t="array" ref="AB35">ROUND(X35*H35,2)</f>
        <v/>
      </c>
      <c r="AC35" s="121">
        <f t="array" ref="AC35">ROUND(AA35+AB35,2)</f>
        <v/>
      </c>
      <c r="AD35" s="127">
        <f t="array" ref="AD35">ROUND((G35*H35)-AC35,2)</f>
        <v/>
      </c>
      <c r="AE35" s="54">
        <f t="array" ref="AE35">_xlfn.IFERROR(ROUND(AC35/(G35*H35),2),0)</f>
        <v/>
      </c>
      <c r="AF35" s="7" t="n"/>
      <c r="AG35" s="7" t="n"/>
      <c r="AH35" s="7" t="n"/>
      <c r="AI35" s="7" t="n"/>
      <c r="AJ35" s="7" t="n"/>
      <c r="AK35" s="7" t="n"/>
      <c r="AL35" s="7" t="n"/>
    </row>
    <row r="36" ht="133.2" customHeight="1" s="104">
      <c r="A36" s="44" t="inlineStr">
        <is>
          <t>2.19</t>
        </is>
      </c>
      <c r="B36" s="44" t="inlineStr">
        <is>
          <t>INSTALAÇÃO DE CRUZETA PARA INSTALAÇÃO DE PROJETORES</t>
        </is>
      </c>
      <c r="C36" s="44" t="inlineStr">
        <is>
          <t>UN</t>
        </is>
      </c>
      <c r="D36" s="45" t="n">
        <v>5</v>
      </c>
      <c r="E36" s="45" t="n"/>
      <c r="F36" s="45" t="n"/>
      <c r="G36" s="45">
        <f t="array" ref="G36">SUM(D36:F36)</f>
        <v/>
      </c>
      <c r="H36" s="121">
        <f t="array" ref="H36">VLOOKUP(A36,#REF!,5,0)</f>
        <v/>
      </c>
      <c r="I36" s="122" t="n">
        <v>0</v>
      </c>
      <c r="J36" s="123" t="n">
        <v>0</v>
      </c>
      <c r="K36" s="124" t="n">
        <v>0</v>
      </c>
      <c r="L36" s="123" t="n">
        <v>0</v>
      </c>
      <c r="M36" s="124" t="n">
        <v>0</v>
      </c>
      <c r="N36" s="124" t="n">
        <v>0</v>
      </c>
      <c r="O36" s="124" t="n">
        <v>0</v>
      </c>
      <c r="P36" s="124" t="n">
        <v>0</v>
      </c>
      <c r="Q36" s="124" t="n">
        <v>0</v>
      </c>
      <c r="R36" s="124" t="n">
        <v>0</v>
      </c>
      <c r="S36" s="124" t="n">
        <v>0</v>
      </c>
      <c r="T36" s="124" t="n">
        <v>0</v>
      </c>
      <c r="U36" s="124" t="n"/>
      <c r="V36" s="124" t="n"/>
      <c r="W36" s="125">
        <f t="array" ref="W36">SUM(I36:V36)</f>
        <v/>
      </c>
      <c r="X36" s="126" t="n">
        <v>0</v>
      </c>
      <c r="Y36" s="125">
        <f t="array" ref="Y36">W36+X36</f>
        <v/>
      </c>
      <c r="Z36" s="125">
        <f t="array" ref="Z36">G36-Y36</f>
        <v/>
      </c>
      <c r="AA36" s="121">
        <f t="array" ref="AA36">ROUND(W36*H36,2)</f>
        <v/>
      </c>
      <c r="AB36" s="127">
        <f t="array" ref="AB36">ROUND(X36*H36,2)</f>
        <v/>
      </c>
      <c r="AC36" s="121">
        <f t="array" ref="AC36">ROUND(AA36+AB36,2)</f>
        <v/>
      </c>
      <c r="AD36" s="127">
        <f t="array" ref="AD36">ROUND((G36*H36)-AC36,2)</f>
        <v/>
      </c>
      <c r="AE36" s="54">
        <f t="array" ref="AE36">_xlfn.IFERROR(ROUND(AC36/(G36*H36),2),0)</f>
        <v/>
      </c>
      <c r="AF36" s="7" t="n"/>
      <c r="AG36" s="7" t="n"/>
      <c r="AH36" s="7" t="n"/>
      <c r="AI36" s="7" t="n"/>
      <c r="AJ36" s="7" t="n"/>
      <c r="AK36" s="7" t="n"/>
      <c r="AL36" s="7" t="n"/>
    </row>
    <row r="37" ht="66.59999999999999" customHeight="1" s="104">
      <c r="A37" s="44" t="inlineStr">
        <is>
          <t>2.20</t>
        </is>
      </c>
      <c r="B37" s="44" t="inlineStr">
        <is>
          <t>INSTALAÇÃO DE ESTRUTURA DE MT (15KV)</t>
        </is>
      </c>
      <c r="C37" s="44" t="inlineStr">
        <is>
          <t>UN</t>
        </is>
      </c>
      <c r="D37" s="45" t="n">
        <v>2</v>
      </c>
      <c r="E37" s="45" t="n"/>
      <c r="F37" s="45" t="n"/>
      <c r="G37" s="45">
        <f t="array" ref="G37">SUM(D37:F37)</f>
        <v/>
      </c>
      <c r="H37" s="121">
        <f t="array" ref="H37">VLOOKUP(A37,#REF!,5,0)</f>
        <v/>
      </c>
      <c r="I37" s="122" t="n">
        <v>0</v>
      </c>
      <c r="J37" s="123" t="n">
        <v>0</v>
      </c>
      <c r="K37" s="124" t="n">
        <v>0</v>
      </c>
      <c r="L37" s="123" t="n">
        <v>0</v>
      </c>
      <c r="M37" s="124" t="n">
        <v>0</v>
      </c>
      <c r="N37" s="124" t="n">
        <v>0</v>
      </c>
      <c r="O37" s="124" t="n">
        <v>0</v>
      </c>
      <c r="P37" s="124" t="n">
        <v>0</v>
      </c>
      <c r="Q37" s="124" t="n">
        <v>0</v>
      </c>
      <c r="R37" s="124" t="n">
        <v>0</v>
      </c>
      <c r="S37" s="124" t="n">
        <v>0</v>
      </c>
      <c r="T37" s="124" t="n">
        <v>0</v>
      </c>
      <c r="U37" s="124" t="n"/>
      <c r="V37" s="124" t="n"/>
      <c r="W37" s="125">
        <f t="array" ref="W37">SUM(I37:V37)</f>
        <v/>
      </c>
      <c r="X37" s="126" t="n">
        <v>0</v>
      </c>
      <c r="Y37" s="125">
        <f t="array" ref="Y37">W37+X37</f>
        <v/>
      </c>
      <c r="Z37" s="125">
        <f t="array" ref="Z37">G37-Y37</f>
        <v/>
      </c>
      <c r="AA37" s="121">
        <f t="array" ref="AA37">ROUND(W37*H37,2)</f>
        <v/>
      </c>
      <c r="AB37" s="127">
        <f t="array" ref="AB37">ROUND(X37*H37,2)</f>
        <v/>
      </c>
      <c r="AC37" s="121">
        <f t="array" ref="AC37">ROUND(AA37+AB37,2)</f>
        <v/>
      </c>
      <c r="AD37" s="127">
        <f t="array" ref="AD37">ROUND((G37*H37)-AC37,2)</f>
        <v/>
      </c>
      <c r="AE37" s="54">
        <f t="array" ref="AE37">_xlfn.IFERROR(ROUND(AC37/(G37*H37),2),0)</f>
        <v/>
      </c>
      <c r="AF37" s="7" t="n"/>
      <c r="AG37" s="7" t="n"/>
      <c r="AH37" s="7" t="n"/>
      <c r="AI37" s="7" t="n"/>
      <c r="AJ37" s="7" t="n"/>
      <c r="AK37" s="7" t="n"/>
      <c r="AL37" s="7" t="n"/>
    </row>
    <row r="38" ht="133.2" customHeight="1" s="104">
      <c r="A38" s="44" t="inlineStr">
        <is>
          <t>2.21</t>
        </is>
      </c>
      <c r="B38" s="44" t="inlineStr">
        <is>
          <t>INSTALAÇÃO DE FIGURA LUMINOSA EM POSTES, BRAÇOS EXISTENTES OU PAREDE DE EDIFICAÇÃO</t>
        </is>
      </c>
      <c r="C38" s="44" t="inlineStr">
        <is>
          <t>M</t>
        </is>
      </c>
      <c r="D38" s="45" t="n">
        <v>32.5</v>
      </c>
      <c r="E38" s="45" t="n"/>
      <c r="F38" s="45" t="n"/>
      <c r="G38" s="45">
        <f t="array" ref="G38">SUM(D38:F38)</f>
        <v/>
      </c>
      <c r="H38" s="121">
        <f t="array" ref="H38">VLOOKUP(A38,#REF!,5,0)</f>
        <v/>
      </c>
      <c r="I38" s="122" t="n">
        <v>0</v>
      </c>
      <c r="J38" s="123" t="n">
        <v>0</v>
      </c>
      <c r="K38" s="124" t="n">
        <v>0</v>
      </c>
      <c r="L38" s="123" t="n">
        <v>0</v>
      </c>
      <c r="M38" s="124" t="n">
        <v>0</v>
      </c>
      <c r="N38" s="124" t="n">
        <v>0</v>
      </c>
      <c r="O38" s="124" t="n">
        <v>0</v>
      </c>
      <c r="P38" s="124" t="n">
        <v>0</v>
      </c>
      <c r="Q38" s="124" t="n">
        <v>0</v>
      </c>
      <c r="R38" s="124" t="n">
        <v>0</v>
      </c>
      <c r="S38" s="124" t="n">
        <v>0</v>
      </c>
      <c r="T38" s="124" t="n">
        <v>0</v>
      </c>
      <c r="U38" s="124" t="n"/>
      <c r="V38" s="124" t="n"/>
      <c r="W38" s="125">
        <f t="array" ref="W38">SUM(I38:V38)</f>
        <v/>
      </c>
      <c r="X38" s="126" t="n">
        <v>0</v>
      </c>
      <c r="Y38" s="125">
        <f t="array" ref="Y38">W38+X38</f>
        <v/>
      </c>
      <c r="Z38" s="125">
        <f t="array" ref="Z38">G38-Y38</f>
        <v/>
      </c>
      <c r="AA38" s="121">
        <f t="array" ref="AA38">ROUND(W38*H38,2)</f>
        <v/>
      </c>
      <c r="AB38" s="127">
        <f t="array" ref="AB38">ROUND(X38*H38,2)</f>
        <v/>
      </c>
      <c r="AC38" s="121">
        <f t="array" ref="AC38">ROUND(AA38+AB38,2)</f>
        <v/>
      </c>
      <c r="AD38" s="127">
        <f t="array" ref="AD38">ROUND((G38*H38)-AC38,2)</f>
        <v/>
      </c>
      <c r="AE38" s="54">
        <f t="array" ref="AE38">_xlfn.IFERROR(ROUND(AC38/(G38*H38),2),0)</f>
        <v/>
      </c>
      <c r="AF38" s="7" t="n"/>
      <c r="AG38" s="7" t="n"/>
      <c r="AH38" s="7" t="n"/>
      <c r="AI38" s="7" t="n"/>
      <c r="AJ38" s="7" t="n"/>
      <c r="AK38" s="7" t="n"/>
      <c r="AL38" s="7" t="n"/>
    </row>
    <row r="39" ht="66.59999999999999" customHeight="1" s="104">
      <c r="A39" s="44" t="inlineStr">
        <is>
          <t>2.22</t>
        </is>
      </c>
      <c r="B39" s="44" t="inlineStr">
        <is>
          <t>INSTALAÇÃO DE GRADE DE PROTEÇÃO PARA PROJETOR</t>
        </is>
      </c>
      <c r="C39" s="44" t="inlineStr">
        <is>
          <t>PÇ</t>
        </is>
      </c>
      <c r="D39" s="45" t="n">
        <v>3.5</v>
      </c>
      <c r="E39" s="45" t="n"/>
      <c r="F39" s="45" t="n"/>
      <c r="G39" s="45">
        <f t="array" ref="G39">SUM(D39:F39)</f>
        <v/>
      </c>
      <c r="H39" s="121">
        <f t="array" ref="H39">VLOOKUP(A39,#REF!,5,0)</f>
        <v/>
      </c>
      <c r="I39" s="122" t="n">
        <v>0</v>
      </c>
      <c r="J39" s="123" t="n">
        <v>0</v>
      </c>
      <c r="K39" s="124" t="n">
        <v>2</v>
      </c>
      <c r="L39" s="123" t="n">
        <v>0</v>
      </c>
      <c r="M39" s="124" t="n">
        <v>0</v>
      </c>
      <c r="N39" s="124" t="n">
        <v>0</v>
      </c>
      <c r="O39" s="124" t="n">
        <v>0</v>
      </c>
      <c r="P39" s="124" t="n">
        <v>0</v>
      </c>
      <c r="Q39" s="124" t="n">
        <v>0</v>
      </c>
      <c r="R39" s="124" t="n">
        <v>0</v>
      </c>
      <c r="S39" s="124" t="n">
        <v>0</v>
      </c>
      <c r="T39" s="124" t="n">
        <v>0</v>
      </c>
      <c r="U39" s="124" t="n"/>
      <c r="V39" s="124" t="n"/>
      <c r="W39" s="125">
        <f t="array" ref="W39">SUM(I39:V39)</f>
        <v/>
      </c>
      <c r="X39" s="126" t="n">
        <v>0</v>
      </c>
      <c r="Y39" s="125">
        <f t="array" ref="Y39">W39+X39</f>
        <v/>
      </c>
      <c r="Z39" s="125">
        <f t="array" ref="Z39">G39-Y39</f>
        <v/>
      </c>
      <c r="AA39" s="121">
        <f t="array" ref="AA39">ROUND(W39*H39,2)</f>
        <v/>
      </c>
      <c r="AB39" s="127">
        <f t="array" ref="AB39">ROUND(X39*H39,2)</f>
        <v/>
      </c>
      <c r="AC39" s="121">
        <f t="array" ref="AC39">ROUND(AA39+AB39,2)</f>
        <v/>
      </c>
      <c r="AD39" s="127">
        <f t="array" ref="AD39">ROUND((G39*H39)-AC39,2)</f>
        <v/>
      </c>
      <c r="AE39" s="54">
        <f t="array" ref="AE39">_xlfn.IFERROR(ROUND(AC39/(G39*H39),2),0)</f>
        <v/>
      </c>
      <c r="AF39" s="7" t="n"/>
      <c r="AG39" s="7" t="n"/>
      <c r="AH39" s="7" t="n"/>
      <c r="AI39" s="7" t="n"/>
      <c r="AJ39" s="7" t="n"/>
      <c r="AK39" s="7" t="n"/>
      <c r="AL39" s="7" t="n"/>
    </row>
    <row r="40" ht="66.59999999999999" customHeight="1" s="104">
      <c r="A40" s="44" t="inlineStr">
        <is>
          <t>2.23</t>
        </is>
      </c>
      <c r="B40" s="44" t="inlineStr">
        <is>
          <t>INSTALAÇÃO DE LUMINÁRIA EM BRAÇO DE ATÉ 1,5 METRO</t>
        </is>
      </c>
      <c r="C40" s="44" t="inlineStr">
        <is>
          <t>UN</t>
        </is>
      </c>
      <c r="D40" s="45" t="n">
        <v>659</v>
      </c>
      <c r="E40" s="45" t="n">
        <v>75</v>
      </c>
      <c r="F40" s="45" t="n">
        <v>300</v>
      </c>
      <c r="G40" s="45">
        <f t="array" ref="G40">SUM(D40:F40)</f>
        <v/>
      </c>
      <c r="H40" s="121">
        <f t="array" ref="H40">VLOOKUP(A40,#REF!,5,0)</f>
        <v/>
      </c>
      <c r="I40" s="122" t="n">
        <v>8</v>
      </c>
      <c r="J40" s="123" t="n">
        <v>0</v>
      </c>
      <c r="K40" s="124" t="n">
        <v>174</v>
      </c>
      <c r="L40" s="123" t="n">
        <v>249</v>
      </c>
      <c r="M40" s="124" t="n">
        <v>328</v>
      </c>
      <c r="N40" s="124" t="n">
        <v>258</v>
      </c>
      <c r="O40" s="124" t="n">
        <v>3</v>
      </c>
      <c r="P40" s="124" t="n">
        <v>10</v>
      </c>
      <c r="Q40" s="124" t="n">
        <v>0</v>
      </c>
      <c r="R40" s="124" t="n">
        <v>2</v>
      </c>
      <c r="S40" s="124" t="n">
        <v>2</v>
      </c>
      <c r="T40" s="124" t="n">
        <v>0</v>
      </c>
      <c r="U40" s="124" t="n"/>
      <c r="V40" s="124" t="n"/>
      <c r="W40" s="125">
        <f t="array" ref="W40">SUM(I40:V40)</f>
        <v/>
      </c>
      <c r="X40" s="126" t="n">
        <v>0</v>
      </c>
      <c r="Y40" s="125">
        <f t="array" ref="Y40">W40+X40</f>
        <v/>
      </c>
      <c r="Z40" s="125">
        <f t="array" ref="Z40">G40-Y40</f>
        <v/>
      </c>
      <c r="AA40" s="121">
        <f t="array" ref="AA40">ROUND(W40*H40,2)</f>
        <v/>
      </c>
      <c r="AB40" s="127">
        <f t="array" ref="AB40">ROUND(X40*H40,2)</f>
        <v/>
      </c>
      <c r="AC40" s="121">
        <f t="array" ref="AC40">ROUND(AA40+AB40,2)</f>
        <v/>
      </c>
      <c r="AD40" s="127">
        <f t="array" ref="AD40">ROUND((G40*H40)-AC40,2)</f>
        <v/>
      </c>
      <c r="AE40" s="54">
        <f t="array" ref="AE40">_xlfn.IFERROR(ROUND(AC40/(G40*H40),2),0)</f>
        <v/>
      </c>
      <c r="AF40" s="7" t="n"/>
      <c r="AG40" s="7" t="n"/>
      <c r="AH40" s="7" t="n"/>
      <c r="AI40" s="133" t="n"/>
      <c r="AJ40" s="7" t="n"/>
      <c r="AK40" s="7" t="n"/>
      <c r="AL40" s="7" t="n"/>
    </row>
    <row r="41" ht="133.2" customHeight="1" s="104">
      <c r="A41" s="44" t="inlineStr">
        <is>
          <t>2.24</t>
        </is>
      </c>
      <c r="B41" s="44" t="inlineStr">
        <is>
          <t>INSTALAÇÃO DE LUMINÁRIA EM BRAÇO SUPERIOR A 1,5 METRO</t>
        </is>
      </c>
      <c r="C41" s="44" t="inlineStr">
        <is>
          <t>UN</t>
        </is>
      </c>
      <c r="D41" s="45" t="n">
        <v>1098</v>
      </c>
      <c r="E41" s="45" t="n">
        <v>75</v>
      </c>
      <c r="F41" s="45" t="n"/>
      <c r="G41" s="45">
        <f t="array" ref="G41">SUM(D41:F41)</f>
        <v/>
      </c>
      <c r="H41" s="121">
        <f t="array" ref="H41">VLOOKUP(A41,#REF!,5,0)</f>
        <v/>
      </c>
      <c r="I41" s="122" t="n">
        <v>0</v>
      </c>
      <c r="J41" s="123" t="n">
        <v>263</v>
      </c>
      <c r="K41" s="124" t="n">
        <v>66</v>
      </c>
      <c r="L41" s="123" t="n">
        <v>0</v>
      </c>
      <c r="M41" s="124" t="n">
        <v>0</v>
      </c>
      <c r="N41" s="124" t="n">
        <v>106</v>
      </c>
      <c r="O41" s="124" t="n">
        <v>94</v>
      </c>
      <c r="P41" s="124" t="n">
        <v>109</v>
      </c>
      <c r="Q41" s="124" t="n">
        <v>339</v>
      </c>
      <c r="R41" s="124" t="n">
        <v>193</v>
      </c>
      <c r="S41" s="124" t="n">
        <v>3</v>
      </c>
      <c r="T41" s="124" t="n">
        <v>0</v>
      </c>
      <c r="U41" s="124" t="n"/>
      <c r="V41" s="124" t="n"/>
      <c r="W41" s="125">
        <f t="array" ref="W41">SUM(I41:V41)</f>
        <v/>
      </c>
      <c r="X41" s="126" t="n">
        <v>0</v>
      </c>
      <c r="Y41" s="125">
        <f t="array" ref="Y41">W41+X41</f>
        <v/>
      </c>
      <c r="Z41" s="125">
        <f t="array" ref="Z41">G41-Y41</f>
        <v/>
      </c>
      <c r="AA41" s="121">
        <f t="array" ref="AA41">ROUND(W41*H41,2)</f>
        <v/>
      </c>
      <c r="AB41" s="127">
        <f t="array" ref="AB41">ROUND(X41*H41,2)</f>
        <v/>
      </c>
      <c r="AC41" s="121">
        <f t="array" ref="AC41">ROUND(AA41+AB41,2)</f>
        <v/>
      </c>
      <c r="AD41" s="127">
        <f t="array" ref="AD41">ROUND((G41*H41)-AC41,2)</f>
        <v/>
      </c>
      <c r="AE41" s="54">
        <f t="array" ref="AE41">_xlfn.IFERROR(ROUND(AC41/(G41*H41),2),0)</f>
        <v/>
      </c>
      <c r="AF41" s="7" t="n"/>
      <c r="AG41" s="7" t="n"/>
      <c r="AH41" s="7" t="n"/>
      <c r="AI41" s="7" t="n"/>
      <c r="AJ41" s="7" t="n"/>
      <c r="AK41" s="7" t="n"/>
      <c r="AL41" s="7" t="n"/>
    </row>
    <row r="42" ht="133.2" customHeight="1" s="104">
      <c r="A42" s="44" t="inlineStr">
        <is>
          <t>2.25</t>
        </is>
      </c>
      <c r="B42" s="44" t="inlineStr">
        <is>
          <t>INSTALAÇÃO DE LUMINÁRIA OU PROJETOR EM POSTE OU EM BRAÇO ORNAMENTAL, EM ALTURA DE ATÉ 10 METROS</t>
        </is>
      </c>
      <c r="C42" s="44" t="inlineStr">
        <is>
          <t>UN</t>
        </is>
      </c>
      <c r="D42" s="45" t="n">
        <v>17</v>
      </c>
      <c r="E42" s="45" t="n">
        <v>52</v>
      </c>
      <c r="F42" s="45" t="n">
        <v>50</v>
      </c>
      <c r="G42" s="45">
        <f t="array" ref="G42">SUM(D42:F42)</f>
        <v/>
      </c>
      <c r="H42" s="121">
        <f t="array" ref="H42">VLOOKUP(A42,#REF!,5,0)</f>
        <v/>
      </c>
      <c r="I42" s="122" t="n">
        <v>20</v>
      </c>
      <c r="J42" s="123" t="n">
        <v>30</v>
      </c>
      <c r="K42" s="124" t="n">
        <v>14</v>
      </c>
      <c r="L42" s="123" t="n">
        <v>16</v>
      </c>
      <c r="M42" s="124" t="n">
        <v>0</v>
      </c>
      <c r="N42" s="124" t="n">
        <v>38</v>
      </c>
      <c r="O42" s="124" t="n">
        <v>0</v>
      </c>
      <c r="P42" s="124" t="n">
        <v>0</v>
      </c>
      <c r="Q42" s="124" t="n">
        <v>0</v>
      </c>
      <c r="R42" s="124" t="n">
        <v>0</v>
      </c>
      <c r="S42" s="124" t="n">
        <v>1</v>
      </c>
      <c r="T42" s="124" t="n">
        <v>0</v>
      </c>
      <c r="U42" s="124" t="n"/>
      <c r="V42" s="124" t="n"/>
      <c r="W42" s="125">
        <f t="array" ref="W42">SUM(I42:V42)</f>
        <v/>
      </c>
      <c r="X42" s="126" t="n">
        <v>0</v>
      </c>
      <c r="Y42" s="125">
        <f t="array" ref="Y42">W42+X42</f>
        <v/>
      </c>
      <c r="Z42" s="125">
        <f t="array" ref="Z42">G42-Y42</f>
        <v/>
      </c>
      <c r="AA42" s="121">
        <f t="array" ref="AA42">ROUND(W42*H42,2)</f>
        <v/>
      </c>
      <c r="AB42" s="127">
        <f t="array" ref="AB42">ROUND(X42*H42,2)</f>
        <v/>
      </c>
      <c r="AC42" s="121">
        <f t="array" ref="AC42">ROUND(AA42+AB42,2)</f>
        <v/>
      </c>
      <c r="AD42" s="127">
        <f t="array" ref="AD42">ROUND((G42*H42)-AC42,2)</f>
        <v/>
      </c>
      <c r="AE42" s="54">
        <f t="array" ref="AE42">_xlfn.IFERROR(ROUND(AC42/(G42*H42),2),0)</f>
        <v/>
      </c>
      <c r="AF42" s="7" t="n"/>
      <c r="AG42" s="7" t="n"/>
      <c r="AH42" s="7" t="n"/>
      <c r="AI42" s="7" t="n"/>
      <c r="AJ42" s="7" t="n"/>
      <c r="AK42" s="7" t="n"/>
      <c r="AL42" s="7" t="n"/>
    </row>
    <row r="43" ht="199.8" customHeight="1" s="104">
      <c r="A43" s="44" t="inlineStr">
        <is>
          <t>2.26</t>
        </is>
      </c>
      <c r="B43" s="44" t="inlineStr">
        <is>
          <t>INSTALAÇÃO DE LUMINÁRIA OU PROJETOR EM POSTE OU EM BRAÇO ORNAMENTAL, EM ALTURA ENTRE 11 E 15 METROS</t>
        </is>
      </c>
      <c r="C43" s="44" t="inlineStr">
        <is>
          <t>UN</t>
        </is>
      </c>
      <c r="D43" s="45" t="n">
        <v>138</v>
      </c>
      <c r="E43" s="45" t="n"/>
      <c r="F43" s="45" t="n">
        <v>50</v>
      </c>
      <c r="G43" s="45">
        <f t="array" ref="G43">SUM(D43:F43)</f>
        <v/>
      </c>
      <c r="H43" s="121">
        <f t="array" ref="H43">VLOOKUP(A43,#REF!,5,0)</f>
        <v/>
      </c>
      <c r="I43" s="122" t="n">
        <v>0</v>
      </c>
      <c r="J43" s="123" t="n">
        <v>0</v>
      </c>
      <c r="K43" s="124" t="n">
        <v>3</v>
      </c>
      <c r="L43" s="123" t="n">
        <v>0</v>
      </c>
      <c r="M43" s="124" t="n">
        <v>1</v>
      </c>
      <c r="N43" s="124" t="n">
        <v>0</v>
      </c>
      <c r="O43" s="124" t="n">
        <v>0</v>
      </c>
      <c r="P43" s="124" t="n">
        <v>0</v>
      </c>
      <c r="Q43" s="124" t="n">
        <v>0</v>
      </c>
      <c r="R43" s="124" t="n">
        <v>131</v>
      </c>
      <c r="S43" s="124" t="n">
        <v>53</v>
      </c>
      <c r="T43" s="124" t="n">
        <v>0</v>
      </c>
      <c r="U43" s="124" t="n"/>
      <c r="V43" s="124" t="n"/>
      <c r="W43" s="125">
        <f t="array" ref="W43">SUM(I43:V43)</f>
        <v/>
      </c>
      <c r="X43" s="126" t="n">
        <v>0</v>
      </c>
      <c r="Y43" s="125">
        <f t="array" ref="Y43">W43+X43</f>
        <v/>
      </c>
      <c r="Z43" s="125">
        <f t="array" ref="Z43">G43-Y43</f>
        <v/>
      </c>
      <c r="AA43" s="121">
        <f t="array" ref="AA43">ROUND(W43*H43,2)</f>
        <v/>
      </c>
      <c r="AB43" s="127">
        <f t="array" ref="AB43">ROUND(X43*H43,2)</f>
        <v/>
      </c>
      <c r="AC43" s="121">
        <f t="array" ref="AC43">ROUND(AA43+AB43,2)</f>
        <v/>
      </c>
      <c r="AD43" s="127">
        <f t="array" ref="AD43">ROUND((G43*H43)-AC43,2)</f>
        <v/>
      </c>
      <c r="AE43" s="54">
        <f t="array" ref="AE43">_xlfn.IFERROR(ROUND(AC43/(G43*H43),2),0)</f>
        <v/>
      </c>
      <c r="AF43" s="7" t="n"/>
      <c r="AG43" s="7" t="n"/>
      <c r="AH43" s="7" t="n"/>
      <c r="AI43" s="7" t="n"/>
      <c r="AJ43" s="7" t="n"/>
      <c r="AK43" s="7" t="n"/>
      <c r="AL43" s="7" t="n"/>
    </row>
    <row r="44" ht="133.2" customHeight="1" s="104">
      <c r="A44" s="44" t="inlineStr">
        <is>
          <t>2.27</t>
        </is>
      </c>
      <c r="B44" s="44" t="inlineStr">
        <is>
          <t>INSTALAÇÃO DE LUMINÁRIA OU PROJETOR EMBUTIDO NO PISO</t>
        </is>
      </c>
      <c r="C44" s="44" t="inlineStr">
        <is>
          <t>UN</t>
        </is>
      </c>
      <c r="D44" s="45" t="n">
        <v>12</v>
      </c>
      <c r="E44" s="45" t="n"/>
      <c r="F44" s="45" t="n"/>
      <c r="G44" s="45">
        <f t="array" ref="G44">SUM(D44:F44)</f>
        <v/>
      </c>
      <c r="H44" s="121">
        <f t="array" ref="H44">VLOOKUP(A44,#REF!,5,0)</f>
        <v/>
      </c>
      <c r="I44" s="122" t="n">
        <v>0</v>
      </c>
      <c r="J44" s="123" t="n">
        <v>0</v>
      </c>
      <c r="K44" s="124" t="n">
        <v>0</v>
      </c>
      <c r="L44" s="123" t="n">
        <v>0</v>
      </c>
      <c r="M44" s="124" t="n">
        <v>0</v>
      </c>
      <c r="N44" s="124" t="n">
        <v>0</v>
      </c>
      <c r="O44" s="124" t="n">
        <v>0</v>
      </c>
      <c r="P44" s="124" t="n">
        <v>0</v>
      </c>
      <c r="Q44" s="124" t="n">
        <v>0</v>
      </c>
      <c r="R44" s="124" t="n">
        <v>0</v>
      </c>
      <c r="S44" s="124" t="n">
        <v>0</v>
      </c>
      <c r="T44" s="124" t="n">
        <v>0</v>
      </c>
      <c r="U44" s="124" t="n"/>
      <c r="V44" s="124" t="n"/>
      <c r="W44" s="125">
        <f t="array" ref="W44">SUM(I44:V44)</f>
        <v/>
      </c>
      <c r="X44" s="126" t="n">
        <v>0</v>
      </c>
      <c r="Y44" s="125">
        <f t="array" ref="Y44">W44+X44</f>
        <v/>
      </c>
      <c r="Z44" s="125">
        <f t="array" ref="Z44">G44-Y44</f>
        <v/>
      </c>
      <c r="AA44" s="121">
        <f t="array" ref="AA44">ROUND(W44*H44,2)</f>
        <v/>
      </c>
      <c r="AB44" s="127">
        <f t="array" ref="AB44">ROUND(X44*H44,2)</f>
        <v/>
      </c>
      <c r="AC44" s="121">
        <f t="array" ref="AC44">ROUND(AA44+AB44,2)</f>
        <v/>
      </c>
      <c r="AD44" s="127">
        <f t="array" ref="AD44">ROUND((G44*H44)-AC44,2)</f>
        <v/>
      </c>
      <c r="AE44" s="54">
        <f t="array" ref="AE44">_xlfn.IFERROR(ROUND(AC44/(G44*H44),2),0)</f>
        <v/>
      </c>
      <c r="AF44" s="7" t="n"/>
      <c r="AG44" s="7" t="n"/>
      <c r="AH44" s="7" t="n"/>
      <c r="AI44" s="7" t="n"/>
      <c r="AJ44" s="7" t="n"/>
      <c r="AK44" s="7" t="n"/>
      <c r="AL44" s="7" t="n"/>
    </row>
    <row r="45" ht="66.59999999999999" customHeight="1" s="104">
      <c r="A45" s="44" t="inlineStr">
        <is>
          <t>2.28</t>
        </is>
      </c>
      <c r="B45" s="44" t="inlineStr">
        <is>
          <t>INSTALAÇÃO DE LUMINÁRIA OU PROJETOR SOBRE O PISO</t>
        </is>
      </c>
      <c r="C45" s="44" t="inlineStr">
        <is>
          <t>UN</t>
        </is>
      </c>
      <c r="D45" s="45" t="n">
        <v>12</v>
      </c>
      <c r="E45" s="45" t="n"/>
      <c r="F45" s="45" t="n"/>
      <c r="G45" s="45">
        <f t="array" ref="G45">SUM(D45:F45)</f>
        <v/>
      </c>
      <c r="H45" s="121">
        <f t="array" ref="H45">VLOOKUP(A45,#REF!,5,0)</f>
        <v/>
      </c>
      <c r="I45" s="122" t="n">
        <v>0</v>
      </c>
      <c r="J45" s="123" t="n">
        <v>0</v>
      </c>
      <c r="K45" s="124" t="n">
        <v>0</v>
      </c>
      <c r="L45" s="123" t="n">
        <v>0</v>
      </c>
      <c r="M45" s="124" t="n">
        <v>0</v>
      </c>
      <c r="N45" s="124" t="n">
        <v>0</v>
      </c>
      <c r="O45" s="124" t="n">
        <v>0</v>
      </c>
      <c r="P45" s="124" t="n">
        <v>0</v>
      </c>
      <c r="Q45" s="124" t="n">
        <v>0</v>
      </c>
      <c r="R45" s="124" t="n">
        <v>0</v>
      </c>
      <c r="S45" s="124" t="n">
        <v>0</v>
      </c>
      <c r="T45" s="124" t="n">
        <v>0</v>
      </c>
      <c r="U45" s="124" t="n"/>
      <c r="V45" s="124" t="n"/>
      <c r="W45" s="125">
        <f t="array" ref="W45">SUM(I45:V45)</f>
        <v/>
      </c>
      <c r="X45" s="126" t="n">
        <v>0</v>
      </c>
      <c r="Y45" s="125">
        <f t="array" ref="Y45">W45+X45</f>
        <v/>
      </c>
      <c r="Z45" s="125">
        <f t="array" ref="Z45">G45-Y45</f>
        <v/>
      </c>
      <c r="AA45" s="121">
        <f t="array" ref="AA45">ROUND(W45*H45,2)</f>
        <v/>
      </c>
      <c r="AB45" s="127">
        <f t="array" ref="AB45">ROUND(X45*H45,2)</f>
        <v/>
      </c>
      <c r="AC45" s="121">
        <f t="array" ref="AC45">ROUND(AA45+AB45,2)</f>
        <v/>
      </c>
      <c r="AD45" s="127">
        <f t="array" ref="AD45">ROUND((G45*H45)-AC45,2)</f>
        <v/>
      </c>
      <c r="AE45" s="54">
        <f t="array" ref="AE45">_xlfn.IFERROR(ROUND(AC45/(G45*H45),2),0)</f>
        <v/>
      </c>
      <c r="AF45" s="7" t="n"/>
      <c r="AG45" s="7" t="n"/>
      <c r="AH45" s="7" t="n"/>
      <c r="AI45" s="7" t="n"/>
      <c r="AJ45" s="7" t="n"/>
      <c r="AK45" s="7" t="n"/>
      <c r="AL45" s="7" t="n"/>
    </row>
    <row r="46" ht="133.2" customHeight="1" s="104">
      <c r="A46" s="44" t="inlineStr">
        <is>
          <t>2.29</t>
        </is>
      </c>
      <c r="B46" s="44" t="inlineStr">
        <is>
          <t>INSTALAÇÃO DE PADRÃO DE ENTRADA DE BAIXA TENSÃO EM MURETA</t>
        </is>
      </c>
      <c r="C46" s="44" t="inlineStr">
        <is>
          <t>UN</t>
        </is>
      </c>
      <c r="D46" s="45" t="n">
        <v>1</v>
      </c>
      <c r="E46" s="45" t="n"/>
      <c r="F46" s="45" t="n"/>
      <c r="G46" s="45">
        <f t="array" ref="G46">SUM(D46:F46)</f>
        <v/>
      </c>
      <c r="H46" s="121">
        <f t="array" ref="H46">VLOOKUP(A46,#REF!,5,0)</f>
        <v/>
      </c>
      <c r="I46" s="122" t="n">
        <v>0</v>
      </c>
      <c r="J46" s="123" t="n">
        <v>0</v>
      </c>
      <c r="K46" s="124" t="n">
        <v>0</v>
      </c>
      <c r="L46" s="123" t="n">
        <v>0</v>
      </c>
      <c r="M46" s="124" t="n">
        <v>1</v>
      </c>
      <c r="N46" s="124" t="n">
        <v>0</v>
      </c>
      <c r="O46" s="124" t="n">
        <v>0</v>
      </c>
      <c r="P46" s="124" t="n">
        <v>0</v>
      </c>
      <c r="Q46" s="124" t="n">
        <v>0</v>
      </c>
      <c r="R46" s="124" t="n">
        <v>0</v>
      </c>
      <c r="S46" s="124" t="n">
        <v>0</v>
      </c>
      <c r="T46" s="124" t="n">
        <v>0</v>
      </c>
      <c r="U46" s="124" t="n"/>
      <c r="V46" s="124" t="n"/>
      <c r="W46" s="125">
        <f t="array" ref="W46">SUM(I46:V46)</f>
        <v/>
      </c>
      <c r="X46" s="126" t="n">
        <v>0</v>
      </c>
      <c r="Y46" s="125">
        <f t="array" ref="Y46">W46+X46</f>
        <v/>
      </c>
      <c r="Z46" s="125">
        <f t="array" ref="Z46">G46-Y46</f>
        <v/>
      </c>
      <c r="AA46" s="121">
        <f t="array" ref="AA46">ROUND(W46*H46,2)</f>
        <v/>
      </c>
      <c r="AB46" s="127">
        <f t="array" ref="AB46">ROUND(X46*H46,2)</f>
        <v/>
      </c>
      <c r="AC46" s="121">
        <f t="array" ref="AC46">ROUND(AA46+AB46,2)</f>
        <v/>
      </c>
      <c r="AD46" s="127">
        <f t="array" ref="AD46">ROUND((G46*H46)-AC46,2)</f>
        <v/>
      </c>
      <c r="AE46" s="54">
        <f t="array" ref="AE46">_xlfn.IFERROR(ROUND(AC46/(G46*H46),2),0)</f>
        <v/>
      </c>
      <c r="AF46" s="7" t="n"/>
      <c r="AG46" s="7" t="n"/>
      <c r="AH46" s="7" t="n"/>
      <c r="AI46" s="7" t="n"/>
      <c r="AJ46" s="7" t="n"/>
      <c r="AK46" s="7" t="n"/>
      <c r="AL46" s="7" t="n"/>
    </row>
    <row r="47" ht="133.2" customHeight="1" s="104">
      <c r="A47" s="44" t="inlineStr">
        <is>
          <t>2.30</t>
        </is>
      </c>
      <c r="B47" s="44" t="inlineStr">
        <is>
          <t>INSTALAÇÃO DE PADRÃO DE ENTRADA DE BAIXA TENSÃO EM POSTE</t>
        </is>
      </c>
      <c r="C47" s="44" t="inlineStr">
        <is>
          <t>UN</t>
        </is>
      </c>
      <c r="D47" s="45" t="n">
        <v>1</v>
      </c>
      <c r="E47" s="45" t="n"/>
      <c r="F47" s="45" t="n"/>
      <c r="G47" s="45">
        <f t="array" ref="G47">SUM(D47:F47)</f>
        <v/>
      </c>
      <c r="H47" s="121">
        <f t="array" ref="H47">VLOOKUP(A47,#REF!,5,0)</f>
        <v/>
      </c>
      <c r="I47" s="122" t="n">
        <v>0</v>
      </c>
      <c r="J47" s="123" t="n">
        <v>1</v>
      </c>
      <c r="K47" s="124" t="n">
        <v>0</v>
      </c>
      <c r="L47" s="123" t="n">
        <v>0</v>
      </c>
      <c r="M47" s="124" t="n">
        <v>0</v>
      </c>
      <c r="N47" s="124" t="n">
        <v>0</v>
      </c>
      <c r="O47" s="124" t="n">
        <v>0</v>
      </c>
      <c r="P47" s="124" t="n">
        <v>0</v>
      </c>
      <c r="Q47" s="124" t="n">
        <v>0</v>
      </c>
      <c r="R47" s="124" t="n">
        <v>0</v>
      </c>
      <c r="S47" s="124" t="n">
        <v>0</v>
      </c>
      <c r="T47" s="124" t="n">
        <v>0</v>
      </c>
      <c r="U47" s="124" t="n"/>
      <c r="V47" s="124" t="n"/>
      <c r="W47" s="125">
        <f t="array" ref="W47">SUM(I47:V47)</f>
        <v/>
      </c>
      <c r="X47" s="126" t="n">
        <v>0</v>
      </c>
      <c r="Y47" s="125">
        <f t="array" ref="Y47">W47+X47</f>
        <v/>
      </c>
      <c r="Z47" s="125">
        <f t="array" ref="Z47">G47-Y47</f>
        <v/>
      </c>
      <c r="AA47" s="121">
        <f t="array" ref="AA47">ROUND(W47*H47,2)</f>
        <v/>
      </c>
      <c r="AB47" s="127">
        <f t="array" ref="AB47">ROUND(X47*H47,2)</f>
        <v/>
      </c>
      <c r="AC47" s="121">
        <f t="array" ref="AC47">ROUND(AA47+AB47,2)</f>
        <v/>
      </c>
      <c r="AD47" s="127">
        <f t="array" ref="AD47">ROUND((G47*H47)-AC47,2)</f>
        <v/>
      </c>
      <c r="AE47" s="54">
        <f t="array" ref="AE47">_xlfn.IFERROR(ROUND(AC47/(G47*H47),2),0)</f>
        <v/>
      </c>
      <c r="AF47" s="7" t="n"/>
      <c r="AG47" s="7" t="n"/>
      <c r="AH47" s="7" t="n"/>
      <c r="AI47" s="7" t="n"/>
      <c r="AJ47" s="7" t="n"/>
      <c r="AK47" s="7" t="n"/>
      <c r="AL47" s="7" t="n"/>
    </row>
    <row r="48" ht="66.59999999999999" customHeight="1" s="104">
      <c r="A48" s="44" t="inlineStr">
        <is>
          <t>2.31</t>
        </is>
      </c>
      <c r="B48" s="44" t="inlineStr">
        <is>
          <t>INSTALAÇÃO DE PLACA DE OBRA</t>
        </is>
      </c>
      <c r="C48" s="44" t="inlineStr">
        <is>
          <t>M2</t>
        </is>
      </c>
      <c r="D48" s="45" t="n">
        <v>36</v>
      </c>
      <c r="E48" s="45" t="n"/>
      <c r="F48" s="45" t="n"/>
      <c r="G48" s="45">
        <f t="array" ref="G48">SUM(D48:F48)</f>
        <v/>
      </c>
      <c r="H48" s="121">
        <f t="array" ref="H48">VLOOKUP(A48,#REF!,5,0)</f>
        <v/>
      </c>
      <c r="I48" s="122" t="n">
        <v>0</v>
      </c>
      <c r="J48" s="123" t="n">
        <v>0</v>
      </c>
      <c r="K48" s="124" t="n">
        <v>0</v>
      </c>
      <c r="L48" s="123" t="n">
        <v>0</v>
      </c>
      <c r="M48" s="124" t="n">
        <v>0</v>
      </c>
      <c r="N48" s="124" t="n">
        <v>0</v>
      </c>
      <c r="O48" s="124" t="n">
        <v>0</v>
      </c>
      <c r="P48" s="124" t="n">
        <v>0</v>
      </c>
      <c r="Q48" s="124" t="n">
        <v>0</v>
      </c>
      <c r="R48" s="124" t="n">
        <v>0</v>
      </c>
      <c r="S48" s="124" t="n">
        <v>0</v>
      </c>
      <c r="T48" s="124" t="n">
        <v>0</v>
      </c>
      <c r="U48" s="124" t="n"/>
      <c r="V48" s="124" t="n"/>
      <c r="W48" s="125">
        <f t="array" ref="W48">SUM(I48:V48)</f>
        <v/>
      </c>
      <c r="X48" s="126" t="n">
        <v>0</v>
      </c>
      <c r="Y48" s="125">
        <f t="array" ref="Y48">W48+X48</f>
        <v/>
      </c>
      <c r="Z48" s="125">
        <f t="array" ref="Z48">G48-Y48</f>
        <v/>
      </c>
      <c r="AA48" s="121">
        <f t="array" ref="AA48">ROUND(W48*H48,2)</f>
        <v/>
      </c>
      <c r="AB48" s="127">
        <f t="array" ref="AB48">ROUND(X48*H48,2)</f>
        <v/>
      </c>
      <c r="AC48" s="121">
        <f t="array" ref="AC48">ROUND(AA48+AB48,2)</f>
        <v/>
      </c>
      <c r="AD48" s="127">
        <f t="array" ref="AD48">ROUND((G48*H48)-AC48,2)</f>
        <v/>
      </c>
      <c r="AE48" s="54">
        <f t="array" ref="AE48">_xlfn.IFERROR(ROUND(AC48/(G48*H48),2),0)</f>
        <v/>
      </c>
      <c r="AF48" s="7" t="n"/>
      <c r="AG48" s="7" t="n"/>
      <c r="AH48" s="7" t="n"/>
      <c r="AI48" s="7" t="n"/>
      <c r="AJ48" s="7" t="n"/>
      <c r="AK48" s="7" t="n"/>
      <c r="AL48" s="7" t="n"/>
    </row>
    <row r="49" ht="66.59999999999999" customHeight="1" s="104">
      <c r="A49" s="44" t="inlineStr">
        <is>
          <t>2.32</t>
        </is>
      </c>
      <c r="B49" s="44" t="inlineStr">
        <is>
          <t>INSTALAÇÃO DE POSTE ENTRE 11 E 15 METROS</t>
        </is>
      </c>
      <c r="C49" s="44" t="inlineStr">
        <is>
          <t>UN</t>
        </is>
      </c>
      <c r="D49" s="45" t="n">
        <v>10</v>
      </c>
      <c r="E49" s="45" t="n">
        <v>30</v>
      </c>
      <c r="F49" s="45" t="n">
        <v>30</v>
      </c>
      <c r="G49" s="45">
        <f t="array" ref="G49">SUM(D49:F49)</f>
        <v/>
      </c>
      <c r="H49" s="121">
        <f t="array" ref="H49">VLOOKUP(A49,#REF!,5,0)</f>
        <v/>
      </c>
      <c r="I49" s="122" t="n">
        <v>0</v>
      </c>
      <c r="J49" s="123" t="n">
        <v>23</v>
      </c>
      <c r="K49" s="124" t="n">
        <v>2</v>
      </c>
      <c r="L49" s="123" t="n">
        <v>6</v>
      </c>
      <c r="M49" s="124" t="n">
        <v>2</v>
      </c>
      <c r="N49" s="124" t="n">
        <v>0</v>
      </c>
      <c r="O49" s="124" t="n">
        <v>0</v>
      </c>
      <c r="P49" s="124" t="n">
        <v>0</v>
      </c>
      <c r="Q49" s="124" t="n">
        <v>0</v>
      </c>
      <c r="R49" s="124" t="n">
        <v>12</v>
      </c>
      <c r="S49" s="124" t="n">
        <v>13</v>
      </c>
      <c r="T49" s="124" t="n">
        <v>0</v>
      </c>
      <c r="U49" s="124" t="n"/>
      <c r="V49" s="124" t="n"/>
      <c r="W49" s="125">
        <f t="array" ref="W49">SUM(I49:V49)</f>
        <v/>
      </c>
      <c r="X49" s="126" t="n">
        <v>0</v>
      </c>
      <c r="Y49" s="125">
        <f t="array" ref="Y49">W49+X49</f>
        <v/>
      </c>
      <c r="Z49" s="125">
        <f t="array" ref="Z49">G49-Y49</f>
        <v/>
      </c>
      <c r="AA49" s="121">
        <f t="array" ref="AA49">ROUND(W49*H49,2)</f>
        <v/>
      </c>
      <c r="AB49" s="127">
        <f t="array" ref="AB49">ROUND(X49*H49,2)</f>
        <v/>
      </c>
      <c r="AC49" s="121">
        <f t="array" ref="AC49">ROUND(AA49+AB49,2)</f>
        <v/>
      </c>
      <c r="AD49" s="127">
        <f t="array" ref="AD49">ROUND((G49*H49)-AC49,2)</f>
        <v/>
      </c>
      <c r="AE49" s="54">
        <f t="array" ref="AE49">_xlfn.IFERROR(ROUND(AC49/(G49*H49),2),0)</f>
        <v/>
      </c>
      <c r="AF49" s="7" t="n"/>
      <c r="AG49" s="7" t="n"/>
      <c r="AH49" s="7" t="n"/>
      <c r="AI49" s="7" t="n"/>
      <c r="AJ49" s="7" t="n"/>
      <c r="AK49" s="7" t="n"/>
      <c r="AL49" s="7" t="n"/>
    </row>
    <row r="50" ht="66.59999999999999" customHeight="1" s="104">
      <c r="A50" s="44" t="inlineStr">
        <is>
          <t>2.33</t>
        </is>
      </c>
      <c r="B50" s="44" t="inlineStr">
        <is>
          <t>INSTALAÇÃO DE POSTE INFERIOR QUE 11 METROS</t>
        </is>
      </c>
      <c r="C50" s="44" t="inlineStr">
        <is>
          <t>UN</t>
        </is>
      </c>
      <c r="D50" s="45" t="n">
        <v>250</v>
      </c>
      <c r="E50" s="45" t="n">
        <v>100</v>
      </c>
      <c r="F50" s="45" t="n"/>
      <c r="G50" s="45">
        <f t="array" ref="G50">SUM(D50:F50)</f>
        <v/>
      </c>
      <c r="H50" s="121">
        <f t="array" ref="H50">VLOOKUP(A50,#REF!,5,0)</f>
        <v/>
      </c>
      <c r="I50" s="122" t="n">
        <v>0</v>
      </c>
      <c r="J50" s="123" t="n">
        <v>0</v>
      </c>
      <c r="K50" s="124" t="n">
        <v>21</v>
      </c>
      <c r="L50" s="123" t="n">
        <v>11</v>
      </c>
      <c r="M50" s="124" t="n">
        <v>16</v>
      </c>
      <c r="N50" s="124" t="n">
        <v>16</v>
      </c>
      <c r="O50" s="124" t="n">
        <v>18</v>
      </c>
      <c r="P50" s="124" t="n">
        <v>6</v>
      </c>
      <c r="Q50" s="124" t="n">
        <v>0</v>
      </c>
      <c r="R50" s="124" t="n">
        <v>37</v>
      </c>
      <c r="S50" s="124" t="n">
        <v>16</v>
      </c>
      <c r="T50" s="124" t="n">
        <v>60</v>
      </c>
      <c r="U50" s="124" t="n"/>
      <c r="V50" s="124" t="n"/>
      <c r="W50" s="125">
        <f t="array" ref="W50">SUM(I50:V50)</f>
        <v/>
      </c>
      <c r="X50" s="126" t="n">
        <v>0</v>
      </c>
      <c r="Y50" s="125">
        <f t="array" ref="Y50">W50+X50</f>
        <v/>
      </c>
      <c r="Z50" s="125">
        <f t="array" ref="Z50">G50-Y50</f>
        <v/>
      </c>
      <c r="AA50" s="121">
        <f t="array" ref="AA50">ROUND(W50*H50,2)</f>
        <v/>
      </c>
      <c r="AB50" s="127">
        <f t="array" ref="AB50">ROUND(X50*H50,2)</f>
        <v/>
      </c>
      <c r="AC50" s="121">
        <f t="array" ref="AC50">ROUND(AA50+AB50,2)</f>
        <v/>
      </c>
      <c r="AD50" s="127">
        <f t="array" ref="AD50">ROUND((G50*H50)-AC50,2)</f>
        <v/>
      </c>
      <c r="AE50" s="54">
        <f t="array" ref="AE50">_xlfn.IFERROR(ROUND(AC50/(G50*H50),2),0)</f>
        <v/>
      </c>
      <c r="AF50" s="7" t="n"/>
      <c r="AG50" s="7" t="n"/>
      <c r="AH50" s="7" t="n"/>
      <c r="AI50" s="7" t="n"/>
      <c r="AJ50" s="7" t="n"/>
      <c r="AK50" s="7" t="n"/>
      <c r="AL50" s="7" t="n"/>
    </row>
    <row r="51" ht="66.59999999999999" customHeight="1" s="104">
      <c r="A51" s="44" t="inlineStr">
        <is>
          <t>2.34</t>
        </is>
      </c>
      <c r="B51" s="44" t="inlineStr">
        <is>
          <t>INSTALAÇÃO DE POSTE SUPERIOR A 15 METROS</t>
        </is>
      </c>
      <c r="C51" s="44" t="inlineStr">
        <is>
          <t>UN</t>
        </is>
      </c>
      <c r="D51" s="45" t="n">
        <v>12</v>
      </c>
      <c r="E51" s="45" t="n"/>
      <c r="F51" s="45" t="n"/>
      <c r="G51" s="45">
        <f t="array" ref="G51">SUM(D51:F51)</f>
        <v/>
      </c>
      <c r="H51" s="121">
        <f t="array" ref="H51">VLOOKUP(A51,#REF!,5,0)</f>
        <v/>
      </c>
      <c r="I51" s="122" t="n">
        <v>0</v>
      </c>
      <c r="J51" s="123" t="n">
        <v>0</v>
      </c>
      <c r="K51" s="124" t="n">
        <v>0</v>
      </c>
      <c r="L51" s="123" t="n">
        <v>0</v>
      </c>
      <c r="M51" s="124" t="n">
        <v>0</v>
      </c>
      <c r="N51" s="124" t="n">
        <v>0</v>
      </c>
      <c r="O51" s="124" t="n">
        <v>0</v>
      </c>
      <c r="P51" s="124" t="n">
        <v>0</v>
      </c>
      <c r="Q51" s="124" t="n">
        <v>0</v>
      </c>
      <c r="R51" s="124" t="n">
        <v>0</v>
      </c>
      <c r="S51" s="124" t="n">
        <v>0</v>
      </c>
      <c r="T51" s="124" t="n">
        <v>0</v>
      </c>
      <c r="U51" s="124" t="n"/>
      <c r="V51" s="124" t="n"/>
      <c r="W51" s="125">
        <f t="array" ref="W51">SUM(I51:V51)</f>
        <v/>
      </c>
      <c r="X51" s="126" t="n">
        <v>0</v>
      </c>
      <c r="Y51" s="125">
        <f t="array" ref="Y51">W51+X51</f>
        <v/>
      </c>
      <c r="Z51" s="125">
        <f t="array" ref="Z51">G51-Y51</f>
        <v/>
      </c>
      <c r="AA51" s="121">
        <f t="array" ref="AA51">ROUND(W51*H51,2)</f>
        <v/>
      </c>
      <c r="AB51" s="127">
        <f t="array" ref="AB51">ROUND(X51*H51,2)</f>
        <v/>
      </c>
      <c r="AC51" s="121">
        <f t="array" ref="AC51">ROUND(AA51+AB51,2)</f>
        <v/>
      </c>
      <c r="AD51" s="127">
        <f t="array" ref="AD51">ROUND((G51*H51)-AC51,2)</f>
        <v/>
      </c>
      <c r="AE51" s="54">
        <f t="array" ref="AE51">_xlfn.IFERROR(ROUND(AC51/(G51*H51),2),0)</f>
        <v/>
      </c>
      <c r="AF51" s="7" t="n"/>
      <c r="AG51" s="7" t="n"/>
      <c r="AH51" s="7" t="n"/>
      <c r="AI51" s="7" t="n"/>
      <c r="AJ51" s="7" t="n"/>
      <c r="AK51" s="7" t="n"/>
      <c r="AL51" s="7" t="n"/>
    </row>
    <row r="52" ht="133.2" customHeight="1" s="104">
      <c r="A52" s="44" t="inlineStr">
        <is>
          <t>2.35</t>
        </is>
      </c>
      <c r="B52" s="44" t="inlineStr">
        <is>
          <t>INSTALAÇÃO DE PROJETOR EM FACHADAS, ALTURA ATÉ 10 METROS</t>
        </is>
      </c>
      <c r="C52" s="44" t="inlineStr">
        <is>
          <t>UN</t>
        </is>
      </c>
      <c r="D52" s="45" t="n">
        <v>50</v>
      </c>
      <c r="E52" s="45" t="n"/>
      <c r="F52" s="45" t="n"/>
      <c r="G52" s="45">
        <f t="array" ref="G52">SUM(D52:F52)</f>
        <v/>
      </c>
      <c r="H52" s="121">
        <f t="array" ref="H52">VLOOKUP(A52,#REF!,5,0)</f>
        <v/>
      </c>
      <c r="I52" s="122" t="n">
        <v>0</v>
      </c>
      <c r="J52" s="123" t="n">
        <v>0</v>
      </c>
      <c r="K52" s="124" t="n">
        <v>0</v>
      </c>
      <c r="L52" s="123" t="n">
        <v>0</v>
      </c>
      <c r="M52" s="124" t="n">
        <v>0</v>
      </c>
      <c r="N52" s="124" t="n">
        <v>0</v>
      </c>
      <c r="O52" s="124" t="n">
        <v>0</v>
      </c>
      <c r="P52" s="124" t="n">
        <v>0</v>
      </c>
      <c r="Q52" s="124" t="n">
        <v>0</v>
      </c>
      <c r="R52" s="124" t="n">
        <v>0</v>
      </c>
      <c r="S52" s="124" t="n">
        <v>11</v>
      </c>
      <c r="T52" s="124" t="n">
        <v>0</v>
      </c>
      <c r="U52" s="124" t="n"/>
      <c r="V52" s="124" t="n"/>
      <c r="W52" s="125">
        <f t="array" ref="W52">SUM(I52:V52)</f>
        <v/>
      </c>
      <c r="X52" s="126" t="n">
        <v>0</v>
      </c>
      <c r="Y52" s="125">
        <f t="array" ref="Y52">W52+X52</f>
        <v/>
      </c>
      <c r="Z52" s="125">
        <f t="array" ref="Z52">G52-Y52</f>
        <v/>
      </c>
      <c r="AA52" s="121">
        <f t="array" ref="AA52">ROUND(W52*H52,2)</f>
        <v/>
      </c>
      <c r="AB52" s="127">
        <f t="array" ref="AB52">ROUND(X52*H52,2)</f>
        <v/>
      </c>
      <c r="AC52" s="121">
        <f t="array" ref="AC52">ROUND(AA52+AB52,2)</f>
        <v/>
      </c>
      <c r="AD52" s="127">
        <f t="array" ref="AD52">ROUND((G52*H52)-AC52,2)</f>
        <v/>
      </c>
      <c r="AE52" s="54">
        <f t="array" ref="AE52">_xlfn.IFERROR(ROUND(AC52/(G52*H52),2),0)</f>
        <v/>
      </c>
      <c r="AF52" s="7" t="n"/>
      <c r="AG52" s="7" t="n"/>
      <c r="AH52" s="7" t="n"/>
      <c r="AI52" s="7" t="n"/>
      <c r="AJ52" s="7" t="n"/>
      <c r="AK52" s="7" t="n"/>
      <c r="AL52" s="7" t="n"/>
    </row>
    <row r="53" ht="133.2" customHeight="1" s="104">
      <c r="A53" s="44" t="inlineStr">
        <is>
          <t>2.36</t>
        </is>
      </c>
      <c r="B53" s="44" t="inlineStr">
        <is>
          <t>INSTALAÇÃO DE PROJETOR EM FACHADAS, ALTURA SUPERIOR A 10 METROS</t>
        </is>
      </c>
      <c r="C53" s="44" t="inlineStr">
        <is>
          <t>UN</t>
        </is>
      </c>
      <c r="D53" s="45" t="n">
        <v>15</v>
      </c>
      <c r="E53" s="45" t="n"/>
      <c r="F53" s="45" t="n"/>
      <c r="G53" s="45">
        <f t="array" ref="G53">SUM(D53:F53)</f>
        <v/>
      </c>
      <c r="H53" s="121">
        <f t="array" ref="H53">VLOOKUP(A53,#REF!,5,0)</f>
        <v/>
      </c>
      <c r="I53" s="122" t="n">
        <v>0</v>
      </c>
      <c r="J53" s="123" t="n">
        <v>0</v>
      </c>
      <c r="K53" s="124" t="n">
        <v>0</v>
      </c>
      <c r="L53" s="123" t="n">
        <v>0</v>
      </c>
      <c r="M53" s="124" t="n">
        <v>0</v>
      </c>
      <c r="N53" s="124" t="n">
        <v>0</v>
      </c>
      <c r="O53" s="124" t="n">
        <v>0</v>
      </c>
      <c r="P53" s="124" t="n">
        <v>0</v>
      </c>
      <c r="Q53" s="124" t="n">
        <v>0</v>
      </c>
      <c r="R53" s="124" t="n">
        <v>0</v>
      </c>
      <c r="S53" s="124" t="n">
        <v>0</v>
      </c>
      <c r="T53" s="124" t="n">
        <v>0</v>
      </c>
      <c r="U53" s="124" t="n"/>
      <c r="V53" s="124" t="n"/>
      <c r="W53" s="125">
        <f t="array" ref="W53">SUM(I53:V53)</f>
        <v/>
      </c>
      <c r="X53" s="126" t="n">
        <v>0</v>
      </c>
      <c r="Y53" s="125">
        <f t="array" ref="Y53">W53+X53</f>
        <v/>
      </c>
      <c r="Z53" s="125">
        <f t="array" ref="Z53">G53-Y53</f>
        <v/>
      </c>
      <c r="AA53" s="121">
        <f t="array" ref="AA53">ROUND(W53*H53,2)</f>
        <v/>
      </c>
      <c r="AB53" s="127">
        <f t="array" ref="AB53">ROUND(X53*H53,2)</f>
        <v/>
      </c>
      <c r="AC53" s="121">
        <f t="array" ref="AC53">ROUND(AA53+AB53,2)</f>
        <v/>
      </c>
      <c r="AD53" s="127">
        <f t="array" ref="AD53">ROUND((G53*H53)-AC53,2)</f>
        <v/>
      </c>
      <c r="AE53" s="54">
        <f t="array" ref="AE53">_xlfn.IFERROR(ROUND(AC53/(G53*H53),2),0)</f>
        <v/>
      </c>
      <c r="AF53" s="7" t="n"/>
      <c r="AG53" s="7" t="n"/>
      <c r="AH53" s="7" t="n"/>
      <c r="AI53" s="7" t="n"/>
      <c r="AJ53" s="7" t="n"/>
      <c r="AK53" s="7" t="n"/>
      <c r="AL53" s="7" t="n"/>
    </row>
    <row r="54" ht="133.2" customHeight="1" s="104">
      <c r="A54" s="44" t="inlineStr">
        <is>
          <t>2.37</t>
        </is>
      </c>
      <c r="B54" s="44" t="inlineStr">
        <is>
          <t>INSTALAÇÃO DE QUADRO DE COMANDO/PROTEÇÃO PARA ILUMINAÇÃO PÚBLICA</t>
        </is>
      </c>
      <c r="C54" s="44" t="inlineStr">
        <is>
          <t>UN</t>
        </is>
      </c>
      <c r="D54" s="45" t="n">
        <v>50</v>
      </c>
      <c r="E54" s="45" t="n"/>
      <c r="F54" s="45" t="n"/>
      <c r="G54" s="45">
        <f t="array" ref="G54">SUM(D54:F54)</f>
        <v/>
      </c>
      <c r="H54" s="121">
        <f t="array" ref="H54">VLOOKUP(A54,#REF!,5,0)</f>
        <v/>
      </c>
      <c r="I54" s="122" t="n">
        <v>0</v>
      </c>
      <c r="J54" s="123" t="n">
        <v>9</v>
      </c>
      <c r="K54" s="124" t="n">
        <v>1</v>
      </c>
      <c r="L54" s="123" t="n">
        <v>0</v>
      </c>
      <c r="M54" s="124" t="n">
        <v>1</v>
      </c>
      <c r="N54" s="124" t="n">
        <v>3</v>
      </c>
      <c r="O54" s="124" t="n">
        <v>0</v>
      </c>
      <c r="P54" s="124" t="n">
        <v>0</v>
      </c>
      <c r="Q54" s="124" t="n">
        <v>1</v>
      </c>
      <c r="R54" s="124" t="n">
        <v>0</v>
      </c>
      <c r="S54" s="124" t="n">
        <v>2</v>
      </c>
      <c r="T54" s="124" t="n">
        <v>0</v>
      </c>
      <c r="U54" s="124" t="n"/>
      <c r="V54" s="124" t="n"/>
      <c r="W54" s="125">
        <f t="array" ref="W54">SUM(I54:V54)</f>
        <v/>
      </c>
      <c r="X54" s="126" t="n">
        <v>0</v>
      </c>
      <c r="Y54" s="125">
        <f t="array" ref="Y54">W54+X54</f>
        <v/>
      </c>
      <c r="Z54" s="125">
        <f t="array" ref="Z54">G54-Y54</f>
        <v/>
      </c>
      <c r="AA54" s="121">
        <f t="array" ref="AA54">ROUND(W54*H54,2)</f>
        <v/>
      </c>
      <c r="AB54" s="127">
        <f t="array" ref="AB54">ROUND(X54*H54,2)</f>
        <v/>
      </c>
      <c r="AC54" s="121">
        <f t="array" ref="AC54">ROUND(AA54+AB54,2)</f>
        <v/>
      </c>
      <c r="AD54" s="127">
        <f t="array" ref="AD54">ROUND((G54*H54)-AC54,2)</f>
        <v/>
      </c>
      <c r="AE54" s="54">
        <f t="array" ref="AE54">_xlfn.IFERROR(ROUND(AC54/(G54*H54),2),0)</f>
        <v/>
      </c>
      <c r="AF54" s="7" t="n"/>
      <c r="AG54" s="7" t="n"/>
      <c r="AH54" s="7" t="n"/>
      <c r="AI54" s="7" t="n"/>
      <c r="AJ54" s="7" t="n"/>
      <c r="AK54" s="7" t="n"/>
      <c r="AL54" s="7" t="n"/>
    </row>
    <row r="55" ht="66.59999999999999" customHeight="1" s="104">
      <c r="A55" s="44" t="inlineStr">
        <is>
          <t>2.38</t>
        </is>
      </c>
      <c r="B55" s="44" t="inlineStr">
        <is>
          <t>INSTALAÇÃO DE RELÉ</t>
        </is>
      </c>
      <c r="C55" s="44" t="inlineStr">
        <is>
          <t>UN</t>
        </is>
      </c>
      <c r="D55" s="45" t="n">
        <v>4133</v>
      </c>
      <c r="E55" s="45" t="n"/>
      <c r="F55" s="45" t="n"/>
      <c r="G55" s="45">
        <f t="array" ref="G55">SUM(D55:F55)</f>
        <v/>
      </c>
      <c r="H55" s="121">
        <f t="array" ref="H55">VLOOKUP(A55,#REF!,5,0)</f>
        <v/>
      </c>
      <c r="I55" s="122" t="n">
        <v>0</v>
      </c>
      <c r="J55" s="123" t="n">
        <v>537</v>
      </c>
      <c r="K55" s="124" t="n">
        <v>345</v>
      </c>
      <c r="L55" s="123" t="n">
        <v>308</v>
      </c>
      <c r="M55" s="124" t="n">
        <v>379</v>
      </c>
      <c r="N55" s="124" t="n">
        <v>290</v>
      </c>
      <c r="O55" s="124" t="n">
        <v>111</v>
      </c>
      <c r="P55" s="124" t="n">
        <v>157</v>
      </c>
      <c r="Q55" s="124" t="n">
        <v>400</v>
      </c>
      <c r="R55" s="124" t="n">
        <v>454</v>
      </c>
      <c r="S55" s="124" t="n">
        <v>332</v>
      </c>
      <c r="T55" s="124" t="n">
        <v>261</v>
      </c>
      <c r="U55" s="124" t="n"/>
      <c r="V55" s="124" t="n"/>
      <c r="W55" s="125">
        <f t="array" ref="W55">SUM(I55:V55)</f>
        <v/>
      </c>
      <c r="X55" s="126" t="n">
        <v>18</v>
      </c>
      <c r="Y55" s="125">
        <f t="array" ref="Y55">W55+X55</f>
        <v/>
      </c>
      <c r="Z55" s="125">
        <f t="array" ref="Z55">G55-Y55</f>
        <v/>
      </c>
      <c r="AA55" s="121">
        <f t="array" ref="AA55">ROUND(W55*H55,2)</f>
        <v/>
      </c>
      <c r="AB55" s="127">
        <f t="array" ref="AB55">ROUND(X55*H55,2)</f>
        <v/>
      </c>
      <c r="AC55" s="121">
        <f t="array" ref="AC55">ROUND(AA55+AB55,2)</f>
        <v/>
      </c>
      <c r="AD55" s="127">
        <f t="array" ref="AD55">ROUND((G55*H55)-AC55,2)</f>
        <v/>
      </c>
      <c r="AE55" s="54">
        <f t="array" ref="AE55">_xlfn.IFERROR(ROUND(AC55/(G55*H55),2),0)</f>
        <v/>
      </c>
      <c r="AF55" s="7" t="n"/>
      <c r="AG55" s="7" t="n"/>
      <c r="AH55" s="7" t="n"/>
      <c r="AI55" s="7" t="n"/>
      <c r="AJ55" s="7" t="n"/>
      <c r="AK55" s="7" t="n"/>
      <c r="AL55" s="7" t="n"/>
    </row>
    <row r="56" ht="66.59999999999999" customHeight="1" s="104">
      <c r="A56" s="44" t="inlineStr">
        <is>
          <t>2.39</t>
        </is>
      </c>
      <c r="B56" s="44" t="inlineStr">
        <is>
          <t>INSTALAÇÃO PROVISÓRIA DE ARMAÇÃO REDE BT</t>
        </is>
      </c>
      <c r="C56" s="44" t="inlineStr">
        <is>
          <t>UN</t>
        </is>
      </c>
      <c r="D56" s="45" t="n">
        <v>5</v>
      </c>
      <c r="E56" s="45" t="n"/>
      <c r="F56" s="45" t="n"/>
      <c r="G56" s="45">
        <f t="array" ref="G56">SUM(D56:F56)</f>
        <v/>
      </c>
      <c r="H56" s="121">
        <f t="array" ref="H56">VLOOKUP(A56,#REF!,5,0)</f>
        <v/>
      </c>
      <c r="I56" s="122" t="n">
        <v>0</v>
      </c>
      <c r="J56" s="123" t="n">
        <v>0</v>
      </c>
      <c r="K56" s="124" t="n">
        <v>0</v>
      </c>
      <c r="L56" s="123" t="n">
        <v>0</v>
      </c>
      <c r="M56" s="124" t="n">
        <v>0</v>
      </c>
      <c r="N56" s="124" t="n">
        <v>0</v>
      </c>
      <c r="O56" s="124" t="n">
        <v>0</v>
      </c>
      <c r="P56" s="124" t="n">
        <v>0</v>
      </c>
      <c r="Q56" s="124" t="n">
        <v>0</v>
      </c>
      <c r="R56" s="124" t="n">
        <v>0</v>
      </c>
      <c r="S56" s="124" t="n">
        <v>0</v>
      </c>
      <c r="T56" s="124" t="n">
        <v>0</v>
      </c>
      <c r="U56" s="124" t="n"/>
      <c r="V56" s="124" t="n"/>
      <c r="W56" s="125">
        <f t="array" ref="W56">SUM(I56:V56)</f>
        <v/>
      </c>
      <c r="X56" s="126" t="n">
        <v>0</v>
      </c>
      <c r="Y56" s="125">
        <f t="array" ref="Y56">W56+X56</f>
        <v/>
      </c>
      <c r="Z56" s="125">
        <f t="array" ref="Z56">G56-Y56</f>
        <v/>
      </c>
      <c r="AA56" s="121">
        <f t="array" ref="AA56">ROUND(W56*H56,2)</f>
        <v/>
      </c>
      <c r="AB56" s="127">
        <f t="array" ref="AB56">ROUND(X56*H56,2)</f>
        <v/>
      </c>
      <c r="AC56" s="121">
        <f t="array" ref="AC56">ROUND(AA56+AB56,2)</f>
        <v/>
      </c>
      <c r="AD56" s="127">
        <f t="array" ref="AD56">ROUND((G56*H56)-AC56,2)</f>
        <v/>
      </c>
      <c r="AE56" s="54">
        <f t="array" ref="AE56">_xlfn.IFERROR(ROUND(AC56/(G56*H56),2),0)</f>
        <v/>
      </c>
      <c r="AF56" s="7" t="n"/>
      <c r="AG56" s="7" t="n"/>
      <c r="AH56" s="7" t="n"/>
      <c r="AI56" s="7" t="n"/>
      <c r="AJ56" s="7" t="n"/>
      <c r="AK56" s="7" t="n"/>
      <c r="AL56" s="7" t="n"/>
    </row>
    <row r="57" ht="66.59999999999999" customHeight="1" s="104">
      <c r="A57" s="44" t="inlineStr">
        <is>
          <t>2.40</t>
        </is>
      </c>
      <c r="B57" s="44" t="inlineStr">
        <is>
          <t>INSTALAÇÃO PROVISÓRIA DE PONTO DE LUZ</t>
        </is>
      </c>
      <c r="C57" s="44" t="inlineStr">
        <is>
          <t>UN</t>
        </is>
      </c>
      <c r="D57" s="45" t="n">
        <v>5</v>
      </c>
      <c r="E57" s="45" t="n"/>
      <c r="F57" s="45" t="n"/>
      <c r="G57" s="45">
        <f t="array" ref="G57">SUM(D57:F57)</f>
        <v/>
      </c>
      <c r="H57" s="121">
        <f t="array" ref="H57">VLOOKUP(A57,#REF!,5,0)</f>
        <v/>
      </c>
      <c r="I57" s="122" t="n">
        <v>0</v>
      </c>
      <c r="J57" s="123" t="n">
        <v>0</v>
      </c>
      <c r="K57" s="124" t="n">
        <v>0</v>
      </c>
      <c r="L57" s="123" t="n">
        <v>0</v>
      </c>
      <c r="M57" s="124" t="n">
        <v>0</v>
      </c>
      <c r="N57" s="124" t="n">
        <v>0</v>
      </c>
      <c r="O57" s="124" t="n">
        <v>0</v>
      </c>
      <c r="P57" s="124" t="n">
        <v>0</v>
      </c>
      <c r="Q57" s="124" t="n">
        <v>0</v>
      </c>
      <c r="R57" s="124" t="n">
        <v>0</v>
      </c>
      <c r="S57" s="124" t="n">
        <v>5</v>
      </c>
      <c r="T57" s="124" t="n">
        <v>0</v>
      </c>
      <c r="U57" s="124" t="n"/>
      <c r="V57" s="124" t="n"/>
      <c r="W57" s="125">
        <f t="array" ref="W57">SUM(I57:V57)</f>
        <v/>
      </c>
      <c r="X57" s="126" t="n">
        <v>0</v>
      </c>
      <c r="Y57" s="125">
        <f t="array" ref="Y57">W57+X57</f>
        <v/>
      </c>
      <c r="Z57" s="125">
        <f t="array" ref="Z57">G57-Y57</f>
        <v/>
      </c>
      <c r="AA57" s="121">
        <f t="array" ref="AA57">ROUND(W57*H57,2)</f>
        <v/>
      </c>
      <c r="AB57" s="127">
        <f t="array" ref="AB57">ROUND(X57*H57,2)</f>
        <v/>
      </c>
      <c r="AC57" s="121">
        <f t="array" ref="AC57">ROUND(AA57+AB57,2)</f>
        <v/>
      </c>
      <c r="AD57" s="127">
        <f t="array" ref="AD57">ROUND((G57*H57)-AC57,2)</f>
        <v/>
      </c>
      <c r="AE57" s="54">
        <f t="array" ref="AE57">_xlfn.IFERROR(ROUND(AC57/(G57*H57),2),0)</f>
        <v/>
      </c>
      <c r="AF57" s="7" t="n"/>
      <c r="AG57" s="7" t="n"/>
      <c r="AH57" s="7" t="n"/>
      <c r="AI57" s="7" t="n"/>
      <c r="AJ57" s="7" t="n"/>
      <c r="AK57" s="7" t="n"/>
      <c r="AL57" s="7" t="n"/>
    </row>
    <row r="58" ht="133.2" customHeight="1" s="104">
      <c r="A58" s="44" t="inlineStr">
        <is>
          <t>2.41</t>
        </is>
      </c>
      <c r="B58" s="44" t="inlineStr">
        <is>
          <t>INSTALAÇÃO PROVISÓRIA DE POSTE DE CONCRETO ENTRE 150 A 600DAN, ALTURA ATÉ 12 METROS</t>
        </is>
      </c>
      <c r="C58" s="44" t="inlineStr">
        <is>
          <t>UN</t>
        </is>
      </c>
      <c r="D58" s="45" t="n">
        <v>12</v>
      </c>
      <c r="E58" s="45" t="n"/>
      <c r="F58" s="45" t="n"/>
      <c r="G58" s="45">
        <f t="array" ref="G58">SUM(D58:F58)</f>
        <v/>
      </c>
      <c r="H58" s="121">
        <f t="array" ref="H58">VLOOKUP(A58,#REF!,5,0)</f>
        <v/>
      </c>
      <c r="I58" s="122" t="n">
        <v>0</v>
      </c>
      <c r="J58" s="123" t="n">
        <v>0</v>
      </c>
      <c r="K58" s="124" t="n">
        <v>0</v>
      </c>
      <c r="L58" s="123" t="n">
        <v>0</v>
      </c>
      <c r="M58" s="124" t="n">
        <v>0</v>
      </c>
      <c r="N58" s="124" t="n">
        <v>0</v>
      </c>
      <c r="O58" s="124" t="n">
        <v>0</v>
      </c>
      <c r="P58" s="124" t="n">
        <v>0</v>
      </c>
      <c r="Q58" s="124" t="n">
        <v>0</v>
      </c>
      <c r="R58" s="124" t="n">
        <v>1</v>
      </c>
      <c r="S58" s="124" t="n">
        <v>0</v>
      </c>
      <c r="T58" s="124" t="n">
        <v>0</v>
      </c>
      <c r="U58" s="124" t="n"/>
      <c r="V58" s="124" t="n"/>
      <c r="W58" s="125">
        <f t="array" ref="W58">SUM(I58:V58)</f>
        <v/>
      </c>
      <c r="X58" s="126" t="n">
        <v>0</v>
      </c>
      <c r="Y58" s="125">
        <f t="array" ref="Y58">W58+X58</f>
        <v/>
      </c>
      <c r="Z58" s="125">
        <f t="array" ref="Z58">G58-Y58</f>
        <v/>
      </c>
      <c r="AA58" s="121">
        <f t="array" ref="AA58">ROUND(W58*H58,2)</f>
        <v/>
      </c>
      <c r="AB58" s="127">
        <f t="array" ref="AB58">ROUND(X58*H58,2)</f>
        <v/>
      </c>
      <c r="AC58" s="121">
        <f t="array" ref="AC58">ROUND(AA58+AB58,2)</f>
        <v/>
      </c>
      <c r="AD58" s="127">
        <f t="array" ref="AD58">ROUND((G58*H58)-AC58,2)</f>
        <v/>
      </c>
      <c r="AE58" s="54">
        <f t="array" ref="AE58">_xlfn.IFERROR(ROUND(AC58/(G58*H58),2),0)</f>
        <v/>
      </c>
      <c r="AF58" s="7" t="n"/>
      <c r="AG58" s="7" t="n"/>
      <c r="AH58" s="7" t="n"/>
      <c r="AI58" s="7" t="n"/>
      <c r="AJ58" s="7" t="n"/>
      <c r="AK58" s="7" t="n"/>
      <c r="AL58" s="7" t="n"/>
    </row>
    <row r="59" ht="133.2" customHeight="1" s="104">
      <c r="A59" s="44" t="inlineStr">
        <is>
          <t>2.42</t>
        </is>
      </c>
      <c r="B59" s="44" t="inlineStr">
        <is>
          <t>INSTALAÇÃO PROVISÓRIA DE PROJETOR COM LÂMPADA DE DESCARGA ATÉ 400W</t>
        </is>
      </c>
      <c r="C59" s="44" t="inlineStr">
        <is>
          <t>UN</t>
        </is>
      </c>
      <c r="D59" s="45" t="n">
        <v>90</v>
      </c>
      <c r="E59" s="45" t="n"/>
      <c r="F59" s="45" t="n"/>
      <c r="G59" s="45">
        <f t="array" ref="G59">SUM(D59:F59)</f>
        <v/>
      </c>
      <c r="H59" s="121">
        <f t="array" ref="H59">VLOOKUP(A59,#REF!,5,0)</f>
        <v/>
      </c>
      <c r="I59" s="122" t="n">
        <v>0</v>
      </c>
      <c r="J59" s="123" t="n">
        <v>0</v>
      </c>
      <c r="K59" s="124" t="n">
        <v>7</v>
      </c>
      <c r="L59" s="123" t="n">
        <v>7</v>
      </c>
      <c r="M59" s="124" t="n">
        <v>7</v>
      </c>
      <c r="N59" s="124" t="n">
        <v>7</v>
      </c>
      <c r="O59" s="124" t="n">
        <v>15</v>
      </c>
      <c r="P59" s="124" t="n">
        <v>0</v>
      </c>
      <c r="Q59" s="124" t="n">
        <v>7</v>
      </c>
      <c r="R59" s="124" t="n">
        <v>7</v>
      </c>
      <c r="S59" s="124" t="n">
        <v>33</v>
      </c>
      <c r="T59" s="124" t="n">
        <v>0</v>
      </c>
      <c r="U59" s="124" t="n"/>
      <c r="V59" s="124" t="n"/>
      <c r="W59" s="125">
        <f t="array" ref="W59">SUM(I59:V59)</f>
        <v/>
      </c>
      <c r="X59" s="126" t="n">
        <v>0</v>
      </c>
      <c r="Y59" s="125">
        <f t="array" ref="Y59">W59+X59</f>
        <v/>
      </c>
      <c r="Z59" s="125">
        <f t="array" ref="Z59">G59-Y59</f>
        <v/>
      </c>
      <c r="AA59" s="121">
        <f t="array" ref="AA59">ROUND(W59*H59,2)</f>
        <v/>
      </c>
      <c r="AB59" s="127">
        <f t="array" ref="AB59">ROUND(X59*H59,2)</f>
        <v/>
      </c>
      <c r="AC59" s="121">
        <f t="array" ref="AC59">ROUND(AA59+AB59,2)</f>
        <v/>
      </c>
      <c r="AD59" s="127">
        <f t="array" ref="AD59">ROUND((G59*H59)-AC59,2)</f>
        <v/>
      </c>
      <c r="AE59" s="54">
        <f t="array" ref="AE59">_xlfn.IFERROR(ROUND(AC59/(G59*H59),2),0)</f>
        <v/>
      </c>
      <c r="AF59" s="7" t="n"/>
      <c r="AG59" s="7" t="n"/>
      <c r="AH59" s="7" t="n"/>
      <c r="AI59" s="7" t="n"/>
      <c r="AJ59" s="7" t="n"/>
      <c r="AK59" s="7" t="n"/>
      <c r="AL59" s="7" t="n"/>
    </row>
    <row r="60" ht="133.2" customHeight="1" s="104">
      <c r="A60" s="44" t="inlineStr">
        <is>
          <t>2.43</t>
        </is>
      </c>
      <c r="B60" s="44" t="inlineStr">
        <is>
          <t>INSTALAÇÃO PROVISÓRIA DE QUADRO COM TOMADAS MONOFÁSICAS</t>
        </is>
      </c>
      <c r="C60" s="44" t="inlineStr">
        <is>
          <t>UN</t>
        </is>
      </c>
      <c r="D60" s="45" t="n">
        <v>1</v>
      </c>
      <c r="E60" s="45" t="n"/>
      <c r="F60" s="45" t="n"/>
      <c r="G60" s="45">
        <f t="array" ref="G60">SUM(D60:F60)</f>
        <v/>
      </c>
      <c r="H60" s="121">
        <f t="array" ref="H60">VLOOKUP(A60,#REF!,5,0)</f>
        <v/>
      </c>
      <c r="I60" s="122" t="n">
        <v>0</v>
      </c>
      <c r="J60" s="123" t="n">
        <v>0</v>
      </c>
      <c r="K60" s="124" t="n">
        <v>0</v>
      </c>
      <c r="L60" s="123" t="n">
        <v>0</v>
      </c>
      <c r="M60" s="124" t="n">
        <v>0</v>
      </c>
      <c r="N60" s="124" t="n">
        <v>0</v>
      </c>
      <c r="O60" s="124" t="n">
        <v>0</v>
      </c>
      <c r="P60" s="124" t="n">
        <v>0</v>
      </c>
      <c r="Q60" s="124" t="n">
        <v>0</v>
      </c>
      <c r="R60" s="124" t="n">
        <v>0</v>
      </c>
      <c r="S60" s="124" t="n">
        <v>0</v>
      </c>
      <c r="T60" s="124" t="n">
        <v>0</v>
      </c>
      <c r="U60" s="124" t="n"/>
      <c r="V60" s="124" t="n"/>
      <c r="W60" s="125">
        <f t="array" ref="W60">SUM(I60:V60)</f>
        <v/>
      </c>
      <c r="X60" s="126" t="n">
        <v>0</v>
      </c>
      <c r="Y60" s="125">
        <f t="array" ref="Y60">W60+X60</f>
        <v/>
      </c>
      <c r="Z60" s="125">
        <f t="array" ref="Z60">G60-Y60</f>
        <v/>
      </c>
      <c r="AA60" s="121">
        <f t="array" ref="AA60">ROUND(W60*H60,2)</f>
        <v/>
      </c>
      <c r="AB60" s="127">
        <f t="array" ref="AB60">ROUND(X60*H60,2)</f>
        <v/>
      </c>
      <c r="AC60" s="121">
        <f t="array" ref="AC60">ROUND(AA60+AB60,2)</f>
        <v/>
      </c>
      <c r="AD60" s="127">
        <f t="array" ref="AD60">ROUND((G60*H60)-AC60,2)</f>
        <v/>
      </c>
      <c r="AE60" s="54">
        <f t="array" ref="AE60">_xlfn.IFERROR(ROUND(AC60/(G60*H60),2),0)</f>
        <v/>
      </c>
      <c r="AF60" s="7" t="n"/>
      <c r="AG60" s="7" t="n"/>
      <c r="AH60" s="7" t="n"/>
      <c r="AI60" s="7" t="n"/>
      <c r="AJ60" s="7" t="n"/>
      <c r="AK60" s="7" t="n"/>
      <c r="AL60" s="7" t="n"/>
    </row>
    <row r="61" ht="133.2" customHeight="1" s="104">
      <c r="A61" s="44" t="inlineStr">
        <is>
          <t>2.44</t>
        </is>
      </c>
      <c r="B61" s="44" t="inlineStr">
        <is>
          <t>LANÇAMENTO DE ELETRODUTO APARENTE INCLUSO A FIXAÇÃO</t>
        </is>
      </c>
      <c r="C61" s="44" t="inlineStr">
        <is>
          <t>M</t>
        </is>
      </c>
      <c r="D61" s="45" t="n">
        <v>250</v>
      </c>
      <c r="E61" s="45" t="n"/>
      <c r="F61" s="45" t="n"/>
      <c r="G61" s="45">
        <f t="array" ref="G61">SUM(D61:F61)</f>
        <v/>
      </c>
      <c r="H61" s="121">
        <f t="array" ref="H61">VLOOKUP(A61,#REF!,5,0)</f>
        <v/>
      </c>
      <c r="I61" s="122" t="n">
        <v>0</v>
      </c>
      <c r="J61" s="123" t="n">
        <v>0</v>
      </c>
      <c r="K61" s="124" t="n">
        <v>0</v>
      </c>
      <c r="L61" s="123" t="n">
        <v>0</v>
      </c>
      <c r="M61" s="124" t="n">
        <v>0</v>
      </c>
      <c r="N61" s="124" t="n">
        <v>0</v>
      </c>
      <c r="O61" s="124" t="n">
        <v>0</v>
      </c>
      <c r="P61" s="124" t="n">
        <v>0</v>
      </c>
      <c r="Q61" s="124" t="n">
        <v>0</v>
      </c>
      <c r="R61" s="124" t="n">
        <v>0</v>
      </c>
      <c r="S61" s="124" t="n">
        <v>0</v>
      </c>
      <c r="T61" s="124" t="n">
        <v>0</v>
      </c>
      <c r="U61" s="124" t="n"/>
      <c r="V61" s="124" t="n"/>
      <c r="W61" s="125">
        <f t="array" ref="W61">SUM(I61:V61)</f>
        <v/>
      </c>
      <c r="X61" s="126" t="n">
        <v>0</v>
      </c>
      <c r="Y61" s="125">
        <f t="array" ref="Y61">W61+X61</f>
        <v/>
      </c>
      <c r="Z61" s="125">
        <f t="array" ref="Z61">G61-Y61</f>
        <v/>
      </c>
      <c r="AA61" s="121">
        <f t="array" ref="AA61">ROUND(W61*H61,2)</f>
        <v/>
      </c>
      <c r="AB61" s="127">
        <f t="array" ref="AB61">ROUND(X61*H61,2)</f>
        <v/>
      </c>
      <c r="AC61" s="121">
        <f t="array" ref="AC61">ROUND(AA61+AB61,2)</f>
        <v/>
      </c>
      <c r="AD61" s="127">
        <f t="array" ref="AD61">ROUND((G61*H61)-AC61,2)</f>
        <v/>
      </c>
      <c r="AE61" s="54">
        <f t="array" ref="AE61">_xlfn.IFERROR(ROUND(AC61/(G61*H61),2),0)</f>
        <v/>
      </c>
      <c r="AF61" s="7" t="n"/>
      <c r="AG61" s="7" t="n"/>
      <c r="AH61" s="7" t="n"/>
      <c r="AI61" s="7" t="n"/>
      <c r="AJ61" s="7" t="n"/>
      <c r="AK61" s="7" t="n"/>
      <c r="AL61" s="7" t="n"/>
    </row>
    <row r="62" ht="66.59999999999999" customHeight="1" s="104">
      <c r="A62" s="44" t="inlineStr">
        <is>
          <t>2.45</t>
        </is>
      </c>
      <c r="B62" s="44" t="inlineStr">
        <is>
          <t>LANÇAMENTO DE ELETRODUTO CORRUGADO ATÉ 4"</t>
        </is>
      </c>
      <c r="C62" s="44" t="inlineStr">
        <is>
          <t>M</t>
        </is>
      </c>
      <c r="D62" s="45" t="n">
        <v>500</v>
      </c>
      <c r="E62" s="45" t="n"/>
      <c r="F62" s="45" t="n"/>
      <c r="G62" s="45">
        <f t="array" ref="G62">SUM(D62:F62)</f>
        <v/>
      </c>
      <c r="H62" s="121">
        <f t="array" ref="H62">VLOOKUP(A62,#REF!,5,0)</f>
        <v/>
      </c>
      <c r="I62" s="122" t="n">
        <v>0</v>
      </c>
      <c r="J62" s="123" t="n">
        <v>0</v>
      </c>
      <c r="K62" s="124" t="n">
        <v>0</v>
      </c>
      <c r="L62" s="123" t="n">
        <v>0</v>
      </c>
      <c r="M62" s="124" t="n">
        <v>0</v>
      </c>
      <c r="N62" s="124" t="n">
        <v>0</v>
      </c>
      <c r="O62" s="124" t="n">
        <v>0</v>
      </c>
      <c r="P62" s="124" t="n">
        <v>0</v>
      </c>
      <c r="Q62" s="124" t="n">
        <v>0</v>
      </c>
      <c r="R62" s="124" t="n">
        <v>0</v>
      </c>
      <c r="S62" s="124" t="n">
        <v>0</v>
      </c>
      <c r="T62" s="124" t="n">
        <v>0</v>
      </c>
      <c r="U62" s="124" t="n"/>
      <c r="V62" s="124" t="n"/>
      <c r="W62" s="125">
        <f t="array" ref="W62">SUM(I62:V62)</f>
        <v/>
      </c>
      <c r="X62" s="126" t="n">
        <v>0</v>
      </c>
      <c r="Y62" s="125">
        <f t="array" ref="Y62">W62+X62</f>
        <v/>
      </c>
      <c r="Z62" s="125">
        <f t="array" ref="Z62">G62-Y62</f>
        <v/>
      </c>
      <c r="AA62" s="121">
        <f t="array" ref="AA62">ROUND(W62*H62,2)</f>
        <v/>
      </c>
      <c r="AB62" s="127">
        <f t="array" ref="AB62">ROUND(X62*H62,2)</f>
        <v/>
      </c>
      <c r="AC62" s="121">
        <f t="array" ref="AC62">ROUND(AA62+AB62,2)</f>
        <v/>
      </c>
      <c r="AD62" s="127">
        <f t="array" ref="AD62">ROUND((G62*H62)-AC62,2)</f>
        <v/>
      </c>
      <c r="AE62" s="54">
        <f t="array" ref="AE62">_xlfn.IFERROR(ROUND(AC62/(G62*H62),2),0)</f>
        <v/>
      </c>
      <c r="AF62" s="7" t="n"/>
      <c r="AG62" s="7" t="n"/>
      <c r="AH62" s="7" t="n"/>
      <c r="AI62" s="7" t="n"/>
      <c r="AJ62" s="7" t="n"/>
      <c r="AK62" s="7" t="n"/>
      <c r="AL62" s="7" t="n"/>
    </row>
    <row r="63" ht="66.59999999999999" customHeight="1" s="104">
      <c r="A63" s="44" t="inlineStr">
        <is>
          <t>2.46</t>
        </is>
      </c>
      <c r="B63" s="44" t="inlineStr">
        <is>
          <t>LIMPEZA INTERNA E EXTERNA DE LUMINÁRIA AÉREA</t>
        </is>
      </c>
      <c r="C63" s="44" t="inlineStr">
        <is>
          <t>UN</t>
        </is>
      </c>
      <c r="D63" s="45" t="n">
        <v>250</v>
      </c>
      <c r="E63" s="45" t="n"/>
      <c r="F63" s="45" t="n"/>
      <c r="G63" s="45">
        <f t="array" ref="G63">SUM(D63:F63)</f>
        <v/>
      </c>
      <c r="H63" s="121">
        <f t="array" ref="H63">VLOOKUP(A63,#REF!,5,0)</f>
        <v/>
      </c>
      <c r="I63" s="122" t="n">
        <v>0</v>
      </c>
      <c r="J63" s="123" t="n">
        <v>0</v>
      </c>
      <c r="K63" s="124" t="n">
        <v>0</v>
      </c>
      <c r="L63" s="123" t="n">
        <v>0</v>
      </c>
      <c r="M63" s="124" t="n">
        <v>0</v>
      </c>
      <c r="N63" s="124" t="n">
        <v>31</v>
      </c>
      <c r="O63" s="124" t="n">
        <v>0</v>
      </c>
      <c r="P63" s="124" t="n">
        <v>4</v>
      </c>
      <c r="Q63" s="124" t="n">
        <v>0</v>
      </c>
      <c r="R63" s="124" t="n">
        <v>0</v>
      </c>
      <c r="S63" s="124" t="n">
        <v>0</v>
      </c>
      <c r="T63" s="124" t="n">
        <v>0</v>
      </c>
      <c r="U63" s="124" t="n"/>
      <c r="V63" s="124" t="n"/>
      <c r="W63" s="125">
        <f t="array" ref="W63">SUM(I63:V63)</f>
        <v/>
      </c>
      <c r="X63" s="126" t="n">
        <v>0</v>
      </c>
      <c r="Y63" s="125">
        <f t="array" ref="Y63">W63+X63</f>
        <v/>
      </c>
      <c r="Z63" s="125">
        <f t="array" ref="Z63">G63-Y63</f>
        <v/>
      </c>
      <c r="AA63" s="121">
        <f t="array" ref="AA63">ROUND(W63*H63,2)</f>
        <v/>
      </c>
      <c r="AB63" s="127">
        <f t="array" ref="AB63">ROUND(X63*H63,2)</f>
        <v/>
      </c>
      <c r="AC63" s="121">
        <f t="array" ref="AC63">ROUND(AA63+AB63,2)</f>
        <v/>
      </c>
      <c r="AD63" s="127">
        <f t="array" ref="AD63">ROUND((G63*H63)-AC63,2)</f>
        <v/>
      </c>
      <c r="AE63" s="54">
        <f t="array" ref="AE63">_xlfn.IFERROR(ROUND(AC63/(G63*H63),2),0)</f>
        <v/>
      </c>
      <c r="AF63" s="7" t="n"/>
      <c r="AG63" s="7" t="n"/>
      <c r="AH63" s="7" t="n"/>
      <c r="AI63" s="7" t="n"/>
      <c r="AJ63" s="7" t="n"/>
      <c r="AK63" s="7" t="n"/>
      <c r="AL63" s="7" t="n"/>
    </row>
    <row r="64" ht="133.2" customHeight="1" s="104">
      <c r="A64" s="44" t="inlineStr">
        <is>
          <t>2.47</t>
        </is>
      </c>
      <c r="B64" s="44" t="inlineStr">
        <is>
          <t>LIMPEZA INTERNA E EXTERNA DE LUMINÁRIA SUBTERRÂNEA</t>
        </is>
      </c>
      <c r="C64" s="44" t="inlineStr">
        <is>
          <t>UN</t>
        </is>
      </c>
      <c r="D64" s="45" t="n">
        <v>25</v>
      </c>
      <c r="E64" s="45" t="n"/>
      <c r="F64" s="45" t="n"/>
      <c r="G64" s="45">
        <f t="array" ref="G64">SUM(D64:F64)</f>
        <v/>
      </c>
      <c r="H64" s="121">
        <f t="array" ref="H64">VLOOKUP(A64,#REF!,5,0)</f>
        <v/>
      </c>
      <c r="I64" s="122" t="n">
        <v>0</v>
      </c>
      <c r="J64" s="123" t="n">
        <v>0</v>
      </c>
      <c r="K64" s="124" t="n">
        <v>0</v>
      </c>
      <c r="L64" s="123" t="n">
        <v>0</v>
      </c>
      <c r="M64" s="124" t="n">
        <v>0</v>
      </c>
      <c r="N64" s="124" t="n">
        <v>0</v>
      </c>
      <c r="O64" s="124" t="n">
        <v>0</v>
      </c>
      <c r="P64" s="124" t="n">
        <v>0</v>
      </c>
      <c r="Q64" s="124" t="n">
        <v>0</v>
      </c>
      <c r="R64" s="124" t="n">
        <v>0</v>
      </c>
      <c r="S64" s="124" t="n">
        <v>0</v>
      </c>
      <c r="T64" s="124" t="n">
        <v>0</v>
      </c>
      <c r="U64" s="124" t="n"/>
      <c r="V64" s="124" t="n"/>
      <c r="W64" s="125">
        <f t="array" ref="W64">SUM(I64:V64)</f>
        <v/>
      </c>
      <c r="X64" s="126" t="n">
        <v>0</v>
      </c>
      <c r="Y64" s="125">
        <f t="array" ref="Y64">W64+X64</f>
        <v/>
      </c>
      <c r="Z64" s="125">
        <f t="array" ref="Z64">G64-Y64</f>
        <v/>
      </c>
      <c r="AA64" s="121">
        <f t="array" ref="AA64">ROUND(W64*H64,2)</f>
        <v/>
      </c>
      <c r="AB64" s="127">
        <f t="array" ref="AB64">ROUND(X64*H64,2)</f>
        <v/>
      </c>
      <c r="AC64" s="121">
        <f t="array" ref="AC64">ROUND(AA64+AB64,2)</f>
        <v/>
      </c>
      <c r="AD64" s="127">
        <f t="array" ref="AD64">ROUND((G64*H64)-AC64,2)</f>
        <v/>
      </c>
      <c r="AE64" s="54">
        <f t="array" ref="AE64">_xlfn.IFERROR(ROUND(AC64/(G64*H64),2),0)</f>
        <v/>
      </c>
      <c r="AF64" s="7" t="n"/>
      <c r="AG64" s="7" t="n"/>
      <c r="AH64" s="7" t="n"/>
      <c r="AI64" s="7" t="n"/>
      <c r="AJ64" s="7" t="n"/>
      <c r="AK64" s="7" t="n"/>
      <c r="AL64" s="7" t="n"/>
    </row>
    <row r="65" ht="199.8" customHeight="1" s="104">
      <c r="A65" s="44" t="inlineStr">
        <is>
          <t>2.48</t>
        </is>
      </c>
      <c r="B65" s="44" t="inlineStr">
        <is>
          <t>M&amp;V - INSTALAÇÃO E RETIRADA DE MULTIMEDIDOR DE GRANDEZAS ELÉTRICAS COM MEMÓRIA DE MASSA EM LUMINÁRIA</t>
        </is>
      </c>
      <c r="C65" s="44" t="inlineStr">
        <is>
          <t>UN</t>
        </is>
      </c>
      <c r="D65" s="45" t="n">
        <v>100</v>
      </c>
      <c r="E65" s="45" t="n"/>
      <c r="F65" s="45" t="n"/>
      <c r="G65" s="45">
        <f t="array" ref="G65">SUM(D65:F65)</f>
        <v/>
      </c>
      <c r="H65" s="121">
        <f t="array" ref="H65">VLOOKUP(A65,#REF!,5,0)</f>
        <v/>
      </c>
      <c r="I65" s="122" t="n">
        <v>0</v>
      </c>
      <c r="J65" s="123" t="n">
        <v>5</v>
      </c>
      <c r="K65" s="124" t="n">
        <v>0</v>
      </c>
      <c r="L65" s="123" t="n">
        <v>0</v>
      </c>
      <c r="M65" s="124" t="n">
        <v>0</v>
      </c>
      <c r="N65" s="124" t="n">
        <v>0</v>
      </c>
      <c r="O65" s="124" t="n">
        <v>0</v>
      </c>
      <c r="P65" s="124" t="n">
        <v>0</v>
      </c>
      <c r="Q65" s="124" t="n">
        <v>0</v>
      </c>
      <c r="R65" s="124" t="n">
        <v>0</v>
      </c>
      <c r="S65" s="124" t="n">
        <v>0</v>
      </c>
      <c r="T65" s="124" t="n">
        <v>0</v>
      </c>
      <c r="U65" s="124" t="n"/>
      <c r="V65" s="124" t="n"/>
      <c r="W65" s="125">
        <f t="array" ref="W65">SUM(I65:V65)</f>
        <v/>
      </c>
      <c r="X65" s="126" t="n">
        <v>0</v>
      </c>
      <c r="Y65" s="125">
        <f t="array" ref="Y65">W65+X65</f>
        <v/>
      </c>
      <c r="Z65" s="125">
        <f t="array" ref="Z65">G65-Y65</f>
        <v/>
      </c>
      <c r="AA65" s="121">
        <f t="array" ref="AA65">ROUND(W65*H65,2)</f>
        <v/>
      </c>
      <c r="AB65" s="127">
        <f t="array" ref="AB65">ROUND(X65*H65,2)</f>
        <v/>
      </c>
      <c r="AC65" s="121">
        <f t="array" ref="AC65">ROUND(AA65+AB65,2)</f>
        <v/>
      </c>
      <c r="AD65" s="127">
        <f t="array" ref="AD65">ROUND((G65*H65)-AC65,2)</f>
        <v/>
      </c>
      <c r="AE65" s="54">
        <f t="array" ref="AE65">_xlfn.IFERROR(ROUND(AC65/(G65*H65),2),0)</f>
        <v/>
      </c>
      <c r="AF65" s="7" t="n"/>
      <c r="AG65" s="7" t="n"/>
      <c r="AH65" s="7" t="n"/>
      <c r="AI65" s="7" t="n"/>
      <c r="AJ65" s="7" t="n"/>
      <c r="AK65" s="7" t="n"/>
      <c r="AL65" s="7" t="n"/>
    </row>
    <row r="66" ht="133.2" customHeight="1" s="104">
      <c r="A66" s="44" t="inlineStr">
        <is>
          <t>2.49</t>
        </is>
      </c>
      <c r="B66" s="44" t="inlineStr">
        <is>
          <t>M&amp;V - ELABORAÇÃO DE PLANO DE M&amp;V DE ACORDO COM PIMVP</t>
        </is>
      </c>
      <c r="C66" s="44" t="inlineStr">
        <is>
          <t>UN</t>
        </is>
      </c>
      <c r="D66" s="45" t="n">
        <v>2</v>
      </c>
      <c r="E66" s="45" t="n"/>
      <c r="F66" s="45" t="n"/>
      <c r="G66" s="45">
        <f t="array" ref="G66">SUM(D66:F66)</f>
        <v/>
      </c>
      <c r="H66" s="121">
        <f t="array" ref="H66">VLOOKUP(A66,#REF!,5,0)</f>
        <v/>
      </c>
      <c r="I66" s="122" t="n">
        <v>0</v>
      </c>
      <c r="J66" s="123" t="n">
        <v>0</v>
      </c>
      <c r="K66" s="124" t="n">
        <v>0</v>
      </c>
      <c r="L66" s="123" t="n">
        <v>0</v>
      </c>
      <c r="M66" s="124" t="n">
        <v>0</v>
      </c>
      <c r="N66" s="124" t="n">
        <v>0</v>
      </c>
      <c r="O66" s="124" t="n">
        <v>0</v>
      </c>
      <c r="P66" s="124" t="n">
        <v>0</v>
      </c>
      <c r="Q66" s="124" t="n">
        <v>0</v>
      </c>
      <c r="R66" s="124" t="n">
        <v>0</v>
      </c>
      <c r="S66" s="124" t="n">
        <v>0</v>
      </c>
      <c r="T66" s="124" t="n">
        <v>0</v>
      </c>
      <c r="U66" s="124" t="n"/>
      <c r="V66" s="124" t="n"/>
      <c r="W66" s="125">
        <f t="array" ref="W66">SUM(I66:V66)</f>
        <v/>
      </c>
      <c r="X66" s="126" t="n">
        <v>0</v>
      </c>
      <c r="Y66" s="125">
        <f t="array" ref="Y66">W66+X66</f>
        <v/>
      </c>
      <c r="Z66" s="125">
        <f t="array" ref="Z66">G66-Y66</f>
        <v/>
      </c>
      <c r="AA66" s="121">
        <f t="array" ref="AA66">ROUND(W66*H66,2)</f>
        <v/>
      </c>
      <c r="AB66" s="127">
        <f t="array" ref="AB66">ROUND(X66*H66,2)</f>
        <v/>
      </c>
      <c r="AC66" s="121">
        <f t="array" ref="AC66">ROUND(AA66+AB66,2)</f>
        <v/>
      </c>
      <c r="AD66" s="127">
        <f t="array" ref="AD66">ROUND((G66*H66)-AC66,2)</f>
        <v/>
      </c>
      <c r="AE66" s="54">
        <f t="array" ref="AE66">_xlfn.IFERROR(ROUND(AC66/(G66*H66),2),0)</f>
        <v/>
      </c>
      <c r="AF66" s="7" t="n"/>
      <c r="AG66" s="7" t="n"/>
      <c r="AH66" s="7" t="n"/>
      <c r="AI66" s="133" t="n">
        <v>31178.48</v>
      </c>
      <c r="AJ66" s="7" t="n"/>
      <c r="AK66" s="7" t="n"/>
      <c r="AL66" s="7" t="n"/>
    </row>
    <row r="67" ht="133.2" customHeight="1" s="104">
      <c r="A67" s="44" t="inlineStr">
        <is>
          <t>2.50</t>
        </is>
      </c>
      <c r="B67" s="44" t="inlineStr">
        <is>
          <t>M&amp;V - ELABORAÇÃO DE RELATÓRIO DE M&amp;V DE ACORDO COM PIMVP</t>
        </is>
      </c>
      <c r="C67" s="44" t="inlineStr">
        <is>
          <t>UN</t>
        </is>
      </c>
      <c r="D67" s="45" t="n">
        <v>2</v>
      </c>
      <c r="E67" s="45" t="n"/>
      <c r="F67" s="45" t="n"/>
      <c r="G67" s="45">
        <f t="array" ref="G67">SUM(D67:F67)</f>
        <v/>
      </c>
      <c r="H67" s="121">
        <f t="array" ref="H67">VLOOKUP(A67,#REF!,5,0)</f>
        <v/>
      </c>
      <c r="I67" s="122" t="n">
        <v>0</v>
      </c>
      <c r="J67" s="123" t="n">
        <v>0</v>
      </c>
      <c r="K67" s="124" t="n">
        <v>0</v>
      </c>
      <c r="L67" s="123" t="n">
        <v>0</v>
      </c>
      <c r="M67" s="124" t="n">
        <v>0</v>
      </c>
      <c r="N67" s="124" t="n">
        <v>0</v>
      </c>
      <c r="O67" s="124" t="n">
        <v>0</v>
      </c>
      <c r="P67" s="124" t="n">
        <v>0</v>
      </c>
      <c r="Q67" s="124" t="n">
        <v>0</v>
      </c>
      <c r="R67" s="124" t="n">
        <v>0</v>
      </c>
      <c r="S67" s="124" t="n">
        <v>0</v>
      </c>
      <c r="T67" s="124" t="n">
        <v>0</v>
      </c>
      <c r="U67" s="124" t="n"/>
      <c r="V67" s="124" t="n"/>
      <c r="W67" s="125">
        <f t="array" ref="W67">SUM(I67:V67)</f>
        <v/>
      </c>
      <c r="X67" s="126" t="n">
        <v>0</v>
      </c>
      <c r="Y67" s="125">
        <f t="array" ref="Y67">W67+X67</f>
        <v/>
      </c>
      <c r="Z67" s="125">
        <f t="array" ref="Z67">G67-Y67</f>
        <v/>
      </c>
      <c r="AA67" s="121">
        <f t="array" ref="AA67">ROUND(W67*H67,2)</f>
        <v/>
      </c>
      <c r="AB67" s="127">
        <f t="array" ref="AB67">ROUND(X67*H67,2)</f>
        <v/>
      </c>
      <c r="AC67" s="121">
        <f t="array" ref="AC67">ROUND(AA67+AB67,2)</f>
        <v/>
      </c>
      <c r="AD67" s="127">
        <f t="array" ref="AD67">ROUND((G67*H67)-AC67,2)</f>
        <v/>
      </c>
      <c r="AE67" s="54">
        <f t="array" ref="AE67">_xlfn.IFERROR(ROUND(AC67/(G67*H67),2),0)</f>
        <v/>
      </c>
      <c r="AF67" s="7" t="n"/>
      <c r="AG67" s="7" t="n"/>
      <c r="AH67" s="7" t="n"/>
      <c r="AI67" s="7" t="n"/>
      <c r="AJ67" s="7" t="n"/>
      <c r="AK67" s="7" t="n"/>
      <c r="AL67" s="7" t="n"/>
    </row>
    <row r="68" ht="66.59999999999999" customHeight="1" s="104">
      <c r="A68" s="44" t="inlineStr">
        <is>
          <t>2.51</t>
        </is>
      </c>
      <c r="B68" s="44" t="inlineStr">
        <is>
          <t>PINTURA DE POSTE DE CONCRETO COM ATÉ 10 METROS</t>
        </is>
      </c>
      <c r="C68" s="44" t="inlineStr">
        <is>
          <t>UN</t>
        </is>
      </c>
      <c r="D68" s="45" t="n">
        <v>25</v>
      </c>
      <c r="E68" s="45" t="n"/>
      <c r="F68" s="45" t="n"/>
      <c r="G68" s="45">
        <f t="array" ref="G68">SUM(D68:F68)</f>
        <v/>
      </c>
      <c r="H68" s="121">
        <f t="array" ref="H68">VLOOKUP(A68,#REF!,5,0)</f>
        <v/>
      </c>
      <c r="I68" s="122" t="n">
        <v>0</v>
      </c>
      <c r="J68" s="123" t="n">
        <v>0</v>
      </c>
      <c r="K68" s="124" t="n">
        <v>0</v>
      </c>
      <c r="L68" s="123" t="n">
        <v>0</v>
      </c>
      <c r="M68" s="124" t="n">
        <v>0</v>
      </c>
      <c r="N68" s="124" t="n">
        <v>0</v>
      </c>
      <c r="O68" s="124" t="n">
        <v>0</v>
      </c>
      <c r="P68" s="124" t="n">
        <v>0</v>
      </c>
      <c r="Q68" s="124" t="n">
        <v>0</v>
      </c>
      <c r="R68" s="124" t="n">
        <v>0</v>
      </c>
      <c r="S68" s="124" t="n">
        <v>0</v>
      </c>
      <c r="T68" s="124" t="n">
        <v>0</v>
      </c>
      <c r="U68" s="124" t="n"/>
      <c r="V68" s="124" t="n"/>
      <c r="W68" s="125">
        <f t="array" ref="W68">SUM(I68:V68)</f>
        <v/>
      </c>
      <c r="X68" s="126" t="n">
        <v>0</v>
      </c>
      <c r="Y68" s="125">
        <f t="array" ref="Y68">W68+X68</f>
        <v/>
      </c>
      <c r="Z68" s="125">
        <f t="array" ref="Z68">G68-Y68</f>
        <v/>
      </c>
      <c r="AA68" s="121">
        <f t="array" ref="AA68">ROUND(W68*H68,2)</f>
        <v/>
      </c>
      <c r="AB68" s="127">
        <f t="array" ref="AB68">ROUND(X68*H68,2)</f>
        <v/>
      </c>
      <c r="AC68" s="121">
        <f t="array" ref="AC68">ROUND(AA68+AB68,2)</f>
        <v/>
      </c>
      <c r="AD68" s="127">
        <f t="array" ref="AD68">ROUND((G68*H68)-AC68,2)</f>
        <v/>
      </c>
      <c r="AE68" s="54">
        <f t="array" ref="AE68">_xlfn.IFERROR(ROUND(AC68/(G68*H68),2),0)</f>
        <v/>
      </c>
      <c r="AF68" s="7" t="n"/>
      <c r="AG68" s="7" t="n"/>
      <c r="AH68" s="7" t="n"/>
      <c r="AI68" s="7" t="n"/>
      <c r="AJ68" s="7" t="n"/>
      <c r="AK68" s="7" t="n"/>
      <c r="AL68" s="7" t="n"/>
    </row>
    <row r="69" ht="66.59999999999999" customHeight="1" s="104">
      <c r="A69" s="44" t="inlineStr">
        <is>
          <t>2.52</t>
        </is>
      </c>
      <c r="B69" s="44" t="inlineStr">
        <is>
          <t>PINTURA DE POSTE DE CONCRETO ENTRE 10 E 15 METROS</t>
        </is>
      </c>
      <c r="C69" s="44" t="inlineStr">
        <is>
          <t>UN</t>
        </is>
      </c>
      <c r="D69" s="45" t="n">
        <v>25</v>
      </c>
      <c r="E69" s="45" t="n"/>
      <c r="F69" s="45" t="n"/>
      <c r="G69" s="45">
        <f t="array" ref="G69">SUM(D69:F69)</f>
        <v/>
      </c>
      <c r="H69" s="121">
        <f t="array" ref="H69">VLOOKUP(A69,#REF!,5,0)</f>
        <v/>
      </c>
      <c r="I69" s="122" t="n">
        <v>0</v>
      </c>
      <c r="J69" s="123" t="n">
        <v>0</v>
      </c>
      <c r="K69" s="124" t="n">
        <v>0</v>
      </c>
      <c r="L69" s="123" t="n">
        <v>0</v>
      </c>
      <c r="M69" s="124" t="n">
        <v>0</v>
      </c>
      <c r="N69" s="124" t="n">
        <v>0</v>
      </c>
      <c r="O69" s="124" t="n">
        <v>0</v>
      </c>
      <c r="P69" s="124" t="n">
        <v>0</v>
      </c>
      <c r="Q69" s="124" t="n">
        <v>0</v>
      </c>
      <c r="R69" s="124" t="n">
        <v>0</v>
      </c>
      <c r="S69" s="124" t="n">
        <v>0</v>
      </c>
      <c r="T69" s="124" t="n">
        <v>0</v>
      </c>
      <c r="U69" s="124" t="n"/>
      <c r="V69" s="124" t="n"/>
      <c r="W69" s="125">
        <f t="array" ref="W69">SUM(I69:V69)</f>
        <v/>
      </c>
      <c r="X69" s="126" t="n">
        <v>0</v>
      </c>
      <c r="Y69" s="125">
        <f t="array" ref="Y69">W69+X69</f>
        <v/>
      </c>
      <c r="Z69" s="125">
        <f t="array" ref="Z69">G69-Y69</f>
        <v/>
      </c>
      <c r="AA69" s="121">
        <f t="array" ref="AA69">ROUND(W69*H69,2)</f>
        <v/>
      </c>
      <c r="AB69" s="127">
        <f t="array" ref="AB69">ROUND(X69*H69,2)</f>
        <v/>
      </c>
      <c r="AC69" s="121">
        <f t="array" ref="AC69">ROUND(AA69+AB69,2)</f>
        <v/>
      </c>
      <c r="AD69" s="127">
        <f t="array" ref="AD69">ROUND((G69*H69)-AC69,2)</f>
        <v/>
      </c>
      <c r="AE69" s="54">
        <f t="array" ref="AE69">_xlfn.IFERROR(ROUND(AC69/(G69*H69),2),0)</f>
        <v/>
      </c>
      <c r="AF69" s="7" t="n"/>
      <c r="AG69" s="7" t="n"/>
      <c r="AH69" s="7" t="n"/>
      <c r="AI69" s="7" t="n"/>
      <c r="AJ69" s="7" t="n"/>
      <c r="AK69" s="7" t="n"/>
      <c r="AL69" s="7" t="n"/>
    </row>
    <row r="70" ht="66.59999999999999" customHeight="1" s="104">
      <c r="A70" s="44" t="inlineStr">
        <is>
          <t>2.53</t>
        </is>
      </c>
      <c r="B70" s="44" t="inlineStr">
        <is>
          <t>PINTURA DE POSTE METÁLICO COM ATÉ 10 METROS</t>
        </is>
      </c>
      <c r="C70" s="44" t="inlineStr">
        <is>
          <t>UN</t>
        </is>
      </c>
      <c r="D70" s="45" t="n">
        <v>50</v>
      </c>
      <c r="E70" s="45" t="n"/>
      <c r="F70" s="45" t="n"/>
      <c r="G70" s="45">
        <f t="array" ref="G70">SUM(D70:F70)</f>
        <v/>
      </c>
      <c r="H70" s="121">
        <f t="array" ref="H70">VLOOKUP(A70,#REF!,5,0)</f>
        <v/>
      </c>
      <c r="I70" s="122" t="n">
        <v>0</v>
      </c>
      <c r="J70" s="123" t="n">
        <v>0</v>
      </c>
      <c r="K70" s="124" t="n">
        <v>0</v>
      </c>
      <c r="L70" s="123" t="n">
        <v>0</v>
      </c>
      <c r="M70" s="124" t="n">
        <v>0</v>
      </c>
      <c r="N70" s="124" t="n">
        <v>0</v>
      </c>
      <c r="O70" s="124" t="n">
        <v>0</v>
      </c>
      <c r="P70" s="124" t="n">
        <v>0</v>
      </c>
      <c r="Q70" s="124" t="n">
        <v>0</v>
      </c>
      <c r="R70" s="124" t="n">
        <v>0</v>
      </c>
      <c r="S70" s="124" t="n">
        <v>0</v>
      </c>
      <c r="T70" s="124" t="n">
        <v>0</v>
      </c>
      <c r="U70" s="124" t="n"/>
      <c r="V70" s="124" t="n"/>
      <c r="W70" s="125">
        <f t="array" ref="W70">SUM(I70:V70)</f>
        <v/>
      </c>
      <c r="X70" s="126" t="n">
        <v>0</v>
      </c>
      <c r="Y70" s="125">
        <f t="array" ref="Y70">W70+X70</f>
        <v/>
      </c>
      <c r="Z70" s="125">
        <f t="array" ref="Z70">G70-Y70</f>
        <v/>
      </c>
      <c r="AA70" s="121">
        <f t="array" ref="AA70">ROUND(W70*H70,2)</f>
        <v/>
      </c>
      <c r="AB70" s="127">
        <f t="array" ref="AB70">ROUND(X70*H70,2)</f>
        <v/>
      </c>
      <c r="AC70" s="121">
        <f t="array" ref="AC70">ROUND(AA70+AB70,2)</f>
        <v/>
      </c>
      <c r="AD70" s="127">
        <f t="array" ref="AD70">ROUND((G70*H70)-AC70,2)</f>
        <v/>
      </c>
      <c r="AE70" s="54">
        <f t="array" ref="AE70">_xlfn.IFERROR(ROUND(AC70/(G70*H70),2),0)</f>
        <v/>
      </c>
      <c r="AF70" s="7" t="n"/>
      <c r="AG70" s="7" t="n"/>
      <c r="AH70" s="7" t="n"/>
      <c r="AI70" s="7" t="n"/>
      <c r="AJ70" s="7" t="n"/>
      <c r="AK70" s="7" t="n"/>
      <c r="AL70" s="7" t="n"/>
    </row>
    <row r="71" ht="66.59999999999999" customHeight="1" s="104">
      <c r="A71" s="44" t="inlineStr">
        <is>
          <t>2.54</t>
        </is>
      </c>
      <c r="B71" s="44" t="inlineStr">
        <is>
          <t>PINTURA DE POSTE METÁLICO ENTRE 10 E 15 METROS</t>
        </is>
      </c>
      <c r="C71" s="44" t="inlineStr">
        <is>
          <t>UN</t>
        </is>
      </c>
      <c r="D71" s="45" t="n">
        <v>25</v>
      </c>
      <c r="E71" s="45" t="n"/>
      <c r="F71" s="45" t="n"/>
      <c r="G71" s="45">
        <f t="array" ref="G71">SUM(D71:F71)</f>
        <v/>
      </c>
      <c r="H71" s="121">
        <f t="array" ref="H71">VLOOKUP(A71,#REF!,5,0)</f>
        <v/>
      </c>
      <c r="I71" s="122" t="n">
        <v>0</v>
      </c>
      <c r="J71" s="123" t="n">
        <v>0</v>
      </c>
      <c r="K71" s="124" t="n">
        <v>0</v>
      </c>
      <c r="L71" s="123" t="n">
        <v>0</v>
      </c>
      <c r="M71" s="124" t="n">
        <v>0</v>
      </c>
      <c r="N71" s="124" t="n">
        <v>0</v>
      </c>
      <c r="O71" s="124" t="n">
        <v>0</v>
      </c>
      <c r="P71" s="124" t="n">
        <v>0</v>
      </c>
      <c r="Q71" s="124" t="n">
        <v>0</v>
      </c>
      <c r="R71" s="124" t="n">
        <v>0</v>
      </c>
      <c r="S71" s="124" t="n">
        <v>0</v>
      </c>
      <c r="T71" s="124" t="n">
        <v>0</v>
      </c>
      <c r="U71" s="124" t="n"/>
      <c r="V71" s="124" t="n"/>
      <c r="W71" s="125">
        <f t="array" ref="W71">SUM(I71:V71)</f>
        <v/>
      </c>
      <c r="X71" s="126" t="n">
        <v>0</v>
      </c>
      <c r="Y71" s="125">
        <f t="array" ref="Y71">W71+X71</f>
        <v/>
      </c>
      <c r="Z71" s="125">
        <f t="array" ref="Z71">G71-Y71</f>
        <v/>
      </c>
      <c r="AA71" s="121">
        <f t="array" ref="AA71">ROUND(W71*H71,2)</f>
        <v/>
      </c>
      <c r="AB71" s="127">
        <f t="array" ref="AB71">ROUND(X71*H71,2)</f>
        <v/>
      </c>
      <c r="AC71" s="121">
        <f t="array" ref="AC71">ROUND(AA71+AB71,2)</f>
        <v/>
      </c>
      <c r="AD71" s="127">
        <f t="array" ref="AD71">ROUND((G71*H71)-AC71,2)</f>
        <v/>
      </c>
      <c r="AE71" s="54">
        <f t="array" ref="AE71">_xlfn.IFERROR(ROUND(AC71/(G71*H71),2),0)</f>
        <v/>
      </c>
      <c r="AF71" s="7" t="n"/>
      <c r="AG71" s="7" t="n"/>
      <c r="AH71" s="7" t="n"/>
      <c r="AI71" s="7" t="n"/>
      <c r="AJ71" s="7" t="n"/>
      <c r="AK71" s="7" t="n"/>
      <c r="AL71" s="7" t="n"/>
    </row>
    <row r="72" ht="133.2" customHeight="1" s="104">
      <c r="A72" s="44" t="inlineStr">
        <is>
          <t>2.55</t>
        </is>
      </c>
      <c r="B72" s="44" t="inlineStr">
        <is>
          <t>PLANTÃO DE EQUIPE OPERACIONAL LEVE EM SÁBADOS, DOMINGOS E FERIADOS</t>
        </is>
      </c>
      <c r="C72" s="44" t="inlineStr">
        <is>
          <t>H</t>
        </is>
      </c>
      <c r="D72" s="45" t="n">
        <v>192</v>
      </c>
      <c r="E72" s="45" t="n"/>
      <c r="F72" s="45" t="n">
        <v>120</v>
      </c>
      <c r="G72" s="45">
        <f t="array" ref="G72">SUM(D72:F72)</f>
        <v/>
      </c>
      <c r="H72" s="121">
        <f t="array" ref="H72">VLOOKUP(A72,#REF!,5,0)</f>
        <v/>
      </c>
      <c r="I72" s="122" t="n">
        <v>0</v>
      </c>
      <c r="J72" s="123" t="n">
        <v>39</v>
      </c>
      <c r="K72" s="124" t="n">
        <v>0</v>
      </c>
      <c r="L72" s="123" t="n">
        <v>36</v>
      </c>
      <c r="M72" s="124" t="n">
        <v>40</v>
      </c>
      <c r="N72" s="124" t="n">
        <v>0</v>
      </c>
      <c r="O72" s="124" t="n">
        <v>0</v>
      </c>
      <c r="P72" s="124" t="n">
        <v>40</v>
      </c>
      <c r="Q72" s="124" t="n">
        <v>143</v>
      </c>
      <c r="R72" s="124" t="n">
        <v>14</v>
      </c>
      <c r="S72" s="124" t="n">
        <v>0</v>
      </c>
      <c r="T72" s="124" t="n">
        <v>0</v>
      </c>
      <c r="U72" s="124" t="n"/>
      <c r="V72" s="124" t="n"/>
      <c r="W72" s="125">
        <f t="array" ref="W72">SUM(I72:V72)</f>
        <v/>
      </c>
      <c r="X72" s="126" t="n">
        <v>0</v>
      </c>
      <c r="Y72" s="125">
        <f t="array" ref="Y72">W72+X72</f>
        <v/>
      </c>
      <c r="Z72" s="125">
        <f t="array" ref="Z72">G72-Y72</f>
        <v/>
      </c>
      <c r="AA72" s="121">
        <f t="array" ref="AA72">ROUND(W72*H72,2)</f>
        <v/>
      </c>
      <c r="AB72" s="127">
        <f t="array" ref="AB72">ROUND(X72*H72,2)</f>
        <v/>
      </c>
      <c r="AC72" s="121">
        <f t="array" ref="AC72">ROUND(AA72+AB72,2)</f>
        <v/>
      </c>
      <c r="AD72" s="127">
        <f t="array" ref="AD72">ROUND((G72*H72)-AC72,2)</f>
        <v/>
      </c>
      <c r="AE72" s="54">
        <f t="array" ref="AE72">_xlfn.IFERROR(ROUND(AC72/(G72*H72),2),0)</f>
        <v/>
      </c>
      <c r="AF72" s="7" t="n"/>
      <c r="AG72" s="7" t="n"/>
      <c r="AH72" s="7" t="n"/>
      <c r="AI72" s="133" t="n"/>
      <c r="AJ72" s="7" t="n"/>
      <c r="AK72" s="7" t="n"/>
      <c r="AL72" s="7" t="n"/>
    </row>
    <row r="73" ht="133.2" customHeight="1" s="104">
      <c r="A73" s="44" t="inlineStr">
        <is>
          <t>2.56</t>
        </is>
      </c>
      <c r="B73" s="44" t="inlineStr">
        <is>
          <t>PLANTÃO DE EQUIPE OPERACIONAL LEVE EM DIAS DE SEMANA</t>
        </is>
      </c>
      <c r="C73" s="44" t="inlineStr">
        <is>
          <t>H</t>
        </is>
      </c>
      <c r="D73" s="45" t="n">
        <v>96</v>
      </c>
      <c r="E73" s="45" t="n"/>
      <c r="F73" s="45" t="n">
        <v>60</v>
      </c>
      <c r="G73" s="45">
        <f t="array" ref="G73">SUM(D73:F73)</f>
        <v/>
      </c>
      <c r="H73" s="121">
        <f t="array" ref="H73">VLOOKUP(A73,#REF!,5,0)</f>
        <v/>
      </c>
      <c r="I73" s="122" t="n">
        <v>0</v>
      </c>
      <c r="J73" s="123" t="n">
        <v>13</v>
      </c>
      <c r="K73" s="124" t="n">
        <v>13</v>
      </c>
      <c r="L73" s="123" t="n">
        <v>0</v>
      </c>
      <c r="M73" s="124" t="n">
        <v>104</v>
      </c>
      <c r="N73" s="124" t="n">
        <v>10</v>
      </c>
      <c r="O73" s="124" t="n">
        <v>0</v>
      </c>
      <c r="P73" s="124" t="n">
        <v>0</v>
      </c>
      <c r="Q73" s="124" t="n">
        <v>16</v>
      </c>
      <c r="R73" s="124" t="n">
        <v>0</v>
      </c>
      <c r="S73" s="124" t="n">
        <v>0</v>
      </c>
      <c r="T73" s="124" t="n">
        <v>0</v>
      </c>
      <c r="U73" s="124" t="n"/>
      <c r="V73" s="124" t="n"/>
      <c r="W73" s="125">
        <f t="array" ref="W73">SUM(I73:V73)</f>
        <v/>
      </c>
      <c r="X73" s="126" t="n">
        <v>0</v>
      </c>
      <c r="Y73" s="125">
        <f t="array" ref="Y73">W73+X73</f>
        <v/>
      </c>
      <c r="Z73" s="125">
        <f t="array" ref="Z73">G73-Y73</f>
        <v/>
      </c>
      <c r="AA73" s="121">
        <f t="array" ref="AA73">ROUND(W73*H73,2)</f>
        <v/>
      </c>
      <c r="AB73" s="127">
        <f t="array" ref="AB73">ROUND(X73*H73,2)</f>
        <v/>
      </c>
      <c r="AC73" s="121">
        <f t="array" ref="AC73">ROUND(AA73+AB73,2)</f>
        <v/>
      </c>
      <c r="AD73" s="127">
        <f t="array" ref="AD73">ROUND((G73*H73)-AC73,2)</f>
        <v/>
      </c>
      <c r="AE73" s="54">
        <f t="array" ref="AE73">_xlfn.IFERROR(ROUND(AC73/(G73*H73),2),0)</f>
        <v/>
      </c>
      <c r="AF73" s="7" t="n"/>
      <c r="AG73" s="7" t="n"/>
      <c r="AH73" s="7" t="n"/>
      <c r="AI73" s="7" t="n"/>
      <c r="AJ73" s="7" t="n"/>
      <c r="AK73" s="7" t="n"/>
      <c r="AL73" s="7" t="n"/>
    </row>
    <row r="74" ht="66.59999999999999" customHeight="1" s="104">
      <c r="A74" s="44" t="inlineStr">
        <is>
          <t>2.57</t>
        </is>
      </c>
      <c r="B74" s="44" t="inlineStr">
        <is>
          <t>REMOÇÃO DE ARMAÇÃO BT</t>
        </is>
      </c>
      <c r="C74" s="44" t="inlineStr">
        <is>
          <t>UN</t>
        </is>
      </c>
      <c r="D74" s="45" t="n">
        <v>4</v>
      </c>
      <c r="E74" s="45" t="n"/>
      <c r="F74" s="45" t="n"/>
      <c r="G74" s="45">
        <f t="array" ref="G74">SUM(D74:F74)</f>
        <v/>
      </c>
      <c r="H74" s="121">
        <f t="array" ref="H74">VLOOKUP(A74,#REF!,5,0)</f>
        <v/>
      </c>
      <c r="I74" s="122" t="n">
        <v>0</v>
      </c>
      <c r="J74" s="123" t="n">
        <v>0</v>
      </c>
      <c r="K74" s="124" t="n">
        <v>0</v>
      </c>
      <c r="L74" s="123" t="n">
        <v>0</v>
      </c>
      <c r="M74" s="124" t="n">
        <v>0</v>
      </c>
      <c r="N74" s="124" t="n">
        <v>0</v>
      </c>
      <c r="O74" s="124" t="n">
        <v>0</v>
      </c>
      <c r="P74" s="124" t="n">
        <v>0</v>
      </c>
      <c r="Q74" s="124" t="n">
        <v>0</v>
      </c>
      <c r="R74" s="124" t="n">
        <v>0</v>
      </c>
      <c r="S74" s="124" t="n">
        <v>0</v>
      </c>
      <c r="T74" s="124" t="n">
        <v>0</v>
      </c>
      <c r="U74" s="124" t="n"/>
      <c r="V74" s="124" t="n"/>
      <c r="W74" s="125">
        <f t="array" ref="W74">SUM(I74:V74)</f>
        <v/>
      </c>
      <c r="X74" s="126" t="n">
        <v>0</v>
      </c>
      <c r="Y74" s="125">
        <f t="array" ref="Y74">W74+X74</f>
        <v/>
      </c>
      <c r="Z74" s="125">
        <f t="array" ref="Z74">G74-Y74</f>
        <v/>
      </c>
      <c r="AA74" s="121">
        <f t="array" ref="AA74">ROUND(W74*H74,2)</f>
        <v/>
      </c>
      <c r="AB74" s="127">
        <f t="array" ref="AB74">ROUND(X74*H74,2)</f>
        <v/>
      </c>
      <c r="AC74" s="121">
        <f t="array" ref="AC74">ROUND(AA74+AB74,2)</f>
        <v/>
      </c>
      <c r="AD74" s="127">
        <f t="array" ref="AD74">ROUND((G74*H74)-AC74,2)</f>
        <v/>
      </c>
      <c r="AE74" s="54">
        <f t="array" ref="AE74">_xlfn.IFERROR(ROUND(AC74/(G74*H74),2),0)</f>
        <v/>
      </c>
      <c r="AF74" s="7" t="n"/>
      <c r="AG74" s="7" t="n"/>
      <c r="AH74" s="7" t="n"/>
      <c r="AI74" s="7" t="n"/>
      <c r="AJ74" s="7" t="n"/>
      <c r="AK74" s="7" t="n"/>
      <c r="AL74" s="7" t="n"/>
    </row>
    <row r="75" ht="66.59999999999999" customHeight="1" s="104">
      <c r="A75" s="44" t="inlineStr">
        <is>
          <t>2.58</t>
        </is>
      </c>
      <c r="B75" s="44" t="inlineStr">
        <is>
          <t>REMOÇÃO DE ATERRAMENTO SIMPLES</t>
        </is>
      </c>
      <c r="C75" s="44" t="inlineStr">
        <is>
          <t>UN</t>
        </is>
      </c>
      <c r="D75" s="45" t="n">
        <v>4</v>
      </c>
      <c r="E75" s="45" t="n"/>
      <c r="F75" s="45" t="n"/>
      <c r="G75" s="45">
        <f t="array" ref="G75">SUM(D75:F75)</f>
        <v/>
      </c>
      <c r="H75" s="121">
        <f t="array" ref="H75">VLOOKUP(A75,#REF!,5,0)</f>
        <v/>
      </c>
      <c r="I75" s="122" t="n">
        <v>0</v>
      </c>
      <c r="J75" s="123" t="n">
        <v>3</v>
      </c>
      <c r="K75" s="124" t="n">
        <v>0</v>
      </c>
      <c r="L75" s="123" t="n">
        <v>0</v>
      </c>
      <c r="M75" s="124" t="n">
        <v>0</v>
      </c>
      <c r="N75" s="124" t="n">
        <v>0</v>
      </c>
      <c r="O75" s="124" t="n">
        <v>0</v>
      </c>
      <c r="P75" s="124" t="n">
        <v>0</v>
      </c>
      <c r="Q75" s="124" t="n">
        <v>0</v>
      </c>
      <c r="R75" s="124" t="n">
        <v>0</v>
      </c>
      <c r="S75" s="124" t="n">
        <v>0</v>
      </c>
      <c r="T75" s="124" t="n">
        <v>0</v>
      </c>
      <c r="U75" s="124" t="n"/>
      <c r="V75" s="124" t="n"/>
      <c r="W75" s="125">
        <f t="array" ref="W75">SUM(I75:V75)</f>
        <v/>
      </c>
      <c r="X75" s="126" t="n">
        <v>0</v>
      </c>
      <c r="Y75" s="125">
        <f t="array" ref="Y75">W75+X75</f>
        <v/>
      </c>
      <c r="Z75" s="125">
        <f t="array" ref="Z75">G75-Y75</f>
        <v/>
      </c>
      <c r="AA75" s="121">
        <f t="array" ref="AA75">ROUND(W75*H75,2)</f>
        <v/>
      </c>
      <c r="AB75" s="127">
        <f t="array" ref="AB75">ROUND(X75*H75,2)</f>
        <v/>
      </c>
      <c r="AC75" s="121">
        <f t="array" ref="AC75">ROUND(AA75+AB75,2)</f>
        <v/>
      </c>
      <c r="AD75" s="127">
        <f t="array" ref="AD75">ROUND((G75*H75)-AC75,2)</f>
        <v/>
      </c>
      <c r="AE75" s="54">
        <f t="array" ref="AE75">_xlfn.IFERROR(ROUND(AC75/(G75*H75),2),0)</f>
        <v/>
      </c>
      <c r="AF75" s="7" t="n"/>
      <c r="AG75" s="7" t="n"/>
      <c r="AH75" s="7" t="n"/>
      <c r="AI75" s="7" t="n"/>
      <c r="AJ75" s="7" t="n"/>
      <c r="AK75" s="7" t="n"/>
      <c r="AL75" s="7" t="n"/>
    </row>
    <row r="76" ht="133.2" customHeight="1" s="104">
      <c r="A76" s="44" t="inlineStr">
        <is>
          <t>2.59</t>
        </is>
      </c>
      <c r="B76" s="44" t="inlineStr">
        <is>
          <t>REMOÇÃO DE BASE DE CONCRETO DE POSTE DE ALTURA ATÉ 10 METROS</t>
        </is>
      </c>
      <c r="C76" s="44" t="inlineStr">
        <is>
          <t>UN</t>
        </is>
      </c>
      <c r="D76" s="45" t="n">
        <v>15</v>
      </c>
      <c r="E76" s="45" t="n"/>
      <c r="F76" s="45" t="n"/>
      <c r="G76" s="45">
        <f t="array" ref="G76">SUM(D76:F76)</f>
        <v/>
      </c>
      <c r="H76" s="121">
        <f t="array" ref="H76">VLOOKUP(A76,#REF!,5,0)</f>
        <v/>
      </c>
      <c r="I76" s="122" t="n">
        <v>0</v>
      </c>
      <c r="J76" s="123" t="n">
        <v>0</v>
      </c>
      <c r="K76" s="124" t="n">
        <v>4</v>
      </c>
      <c r="L76" s="123" t="n">
        <v>0</v>
      </c>
      <c r="M76" s="124" t="n">
        <v>0</v>
      </c>
      <c r="N76" s="124" t="n">
        <v>0</v>
      </c>
      <c r="O76" s="124" t="n">
        <v>0</v>
      </c>
      <c r="P76" s="124" t="n">
        <v>0</v>
      </c>
      <c r="Q76" s="124" t="n">
        <v>0</v>
      </c>
      <c r="R76" s="124" t="n">
        <v>0</v>
      </c>
      <c r="S76" s="124" t="n">
        <v>0</v>
      </c>
      <c r="T76" s="124" t="n">
        <v>0</v>
      </c>
      <c r="U76" s="124" t="n"/>
      <c r="V76" s="124" t="n"/>
      <c r="W76" s="125">
        <f t="array" ref="W76">SUM(I76:V76)</f>
        <v/>
      </c>
      <c r="X76" s="126" t="n">
        <v>0</v>
      </c>
      <c r="Y76" s="125">
        <f t="array" ref="Y76">W76+X76</f>
        <v/>
      </c>
      <c r="Z76" s="125">
        <f t="array" ref="Z76">G76-Y76</f>
        <v/>
      </c>
      <c r="AA76" s="121">
        <f t="array" ref="AA76">ROUND(W76*H76,2)</f>
        <v/>
      </c>
      <c r="AB76" s="127">
        <f t="array" ref="AB76">ROUND(X76*H76,2)</f>
        <v/>
      </c>
      <c r="AC76" s="121">
        <f t="array" ref="AC76">ROUND(AA76+AB76,2)</f>
        <v/>
      </c>
      <c r="AD76" s="127">
        <f t="array" ref="AD76">ROUND((G76*H76)-AC76,2)</f>
        <v/>
      </c>
      <c r="AE76" s="54">
        <f t="array" ref="AE76">_xlfn.IFERROR(ROUND(AC76/(G76*H76),2),0)</f>
        <v/>
      </c>
      <c r="AF76" s="7" t="n"/>
      <c r="AG76" s="7" t="n"/>
      <c r="AH76" s="7" t="n"/>
      <c r="AI76" s="7" t="n"/>
      <c r="AJ76" s="7" t="n"/>
      <c r="AK76" s="7" t="n"/>
      <c r="AL76" s="7" t="n"/>
    </row>
    <row r="77" ht="133.2" customHeight="1" s="104">
      <c r="A77" s="44" t="inlineStr">
        <is>
          <t>2.60</t>
        </is>
      </c>
      <c r="B77" s="44" t="inlineStr">
        <is>
          <t>REMOÇÃO DE CAIXA DE PASSAGEM DE ALVENARIA OU CONCRETO</t>
        </is>
      </c>
      <c r="C77" s="44" t="inlineStr">
        <is>
          <t>UN</t>
        </is>
      </c>
      <c r="D77" s="45" t="n">
        <v>15</v>
      </c>
      <c r="E77" s="45" t="n"/>
      <c r="F77" s="45" t="n"/>
      <c r="G77" s="45">
        <f t="array" ref="G77">SUM(D77:F77)</f>
        <v/>
      </c>
      <c r="H77" s="121">
        <f t="array" ref="H77">VLOOKUP(A77,#REF!,5,0)</f>
        <v/>
      </c>
      <c r="I77" s="122" t="n">
        <v>0</v>
      </c>
      <c r="J77" s="123" t="n">
        <v>0</v>
      </c>
      <c r="K77" s="124" t="n">
        <v>0</v>
      </c>
      <c r="L77" s="123" t="n">
        <v>0</v>
      </c>
      <c r="M77" s="124" t="n">
        <v>0</v>
      </c>
      <c r="N77" s="124" t="n">
        <v>0</v>
      </c>
      <c r="O77" s="124" t="n">
        <v>15</v>
      </c>
      <c r="P77" s="124" t="n">
        <v>0</v>
      </c>
      <c r="Q77" s="124" t="n">
        <v>0</v>
      </c>
      <c r="R77" s="124" t="n">
        <v>0</v>
      </c>
      <c r="S77" s="124" t="n">
        <v>0</v>
      </c>
      <c r="T77" s="124" t="n">
        <v>0</v>
      </c>
      <c r="U77" s="124" t="n"/>
      <c r="V77" s="124" t="n"/>
      <c r="W77" s="125">
        <f t="array" ref="W77">SUM(I77:V77)</f>
        <v/>
      </c>
      <c r="X77" s="126" t="n">
        <v>0</v>
      </c>
      <c r="Y77" s="125">
        <f t="array" ref="Y77">W77+X77</f>
        <v/>
      </c>
      <c r="Z77" s="125">
        <f t="array" ref="Z77">G77-Y77</f>
        <v/>
      </c>
      <c r="AA77" s="121">
        <f t="array" ref="AA77">ROUND(W77*H77,2)</f>
        <v/>
      </c>
      <c r="AB77" s="127">
        <f t="array" ref="AB77">ROUND(X77*H77,2)</f>
        <v/>
      </c>
      <c r="AC77" s="121">
        <f t="array" ref="AC77">ROUND(AA77+AB77,2)</f>
        <v/>
      </c>
      <c r="AD77" s="127">
        <f t="array" ref="AD77">ROUND((G77*H77)-AC77,2)</f>
        <v/>
      </c>
      <c r="AE77" s="54">
        <f t="array" ref="AE77">_xlfn.IFERROR(ROUND(AC77/(G77*H77),2),0)</f>
        <v/>
      </c>
      <c r="AF77" s="7" t="n"/>
      <c r="AG77" s="7" t="n"/>
      <c r="AH77" s="7" t="n"/>
      <c r="AI77" s="7" t="n"/>
      <c r="AJ77" s="7" t="n"/>
      <c r="AK77" s="7" t="n"/>
      <c r="AL77" s="7" t="n"/>
    </row>
    <row r="78" ht="133.2" customHeight="1" s="104">
      <c r="A78" s="44" t="inlineStr">
        <is>
          <t>2.61</t>
        </is>
      </c>
      <c r="B78" s="44" t="inlineStr">
        <is>
          <t>REMOÇÃO DE CHAVE DE COMANDO PARA ILUMINAÇÃO PÚBLICA</t>
        </is>
      </c>
      <c r="C78" s="44" t="inlineStr">
        <is>
          <t>UN</t>
        </is>
      </c>
      <c r="D78" s="45" t="n">
        <v>2</v>
      </c>
      <c r="E78" s="45" t="n"/>
      <c r="F78" s="45" t="n"/>
      <c r="G78" s="45">
        <f t="array" ref="G78">SUM(D78:F78)</f>
        <v/>
      </c>
      <c r="H78" s="121">
        <f t="array" ref="H78">VLOOKUP(A78,#REF!,5,0)</f>
        <v/>
      </c>
      <c r="I78" s="122" t="n">
        <v>0</v>
      </c>
      <c r="J78" s="123" t="n">
        <v>1</v>
      </c>
      <c r="K78" s="124" t="n">
        <v>0</v>
      </c>
      <c r="L78" s="123" t="n">
        <v>1</v>
      </c>
      <c r="M78" s="124" t="n">
        <v>0</v>
      </c>
      <c r="N78" s="124" t="n">
        <v>0</v>
      </c>
      <c r="O78" s="124" t="n">
        <v>0</v>
      </c>
      <c r="P78" s="124" t="n">
        <v>0</v>
      </c>
      <c r="Q78" s="124" t="n">
        <v>0</v>
      </c>
      <c r="R78" s="124" t="n">
        <v>0</v>
      </c>
      <c r="S78" s="124" t="n">
        <v>0</v>
      </c>
      <c r="T78" s="124" t="n">
        <v>0</v>
      </c>
      <c r="U78" s="124" t="n"/>
      <c r="V78" s="124" t="n"/>
      <c r="W78" s="125">
        <f t="array" ref="W78">SUM(I78:V78)</f>
        <v/>
      </c>
      <c r="X78" s="126" t="n">
        <v>0</v>
      </c>
      <c r="Y78" s="125">
        <f t="array" ref="Y78">W78+X78</f>
        <v/>
      </c>
      <c r="Z78" s="125">
        <f t="array" ref="Z78">G78-Y78</f>
        <v/>
      </c>
      <c r="AA78" s="121">
        <f t="array" ref="AA78">ROUND(W78*H78,2)</f>
        <v/>
      </c>
      <c r="AB78" s="127">
        <f t="array" ref="AB78">ROUND(X78*H78,2)</f>
        <v/>
      </c>
      <c r="AC78" s="121">
        <f t="array" ref="AC78">ROUND(AA78+AB78,2)</f>
        <v/>
      </c>
      <c r="AD78" s="127">
        <f t="array" ref="AD78">ROUND((G78*H78)-AC78,2)</f>
        <v/>
      </c>
      <c r="AE78" s="54">
        <f t="array" ref="AE78">_xlfn.IFERROR(ROUND(AC78/(G78*H78),2),0)</f>
        <v/>
      </c>
      <c r="AF78" s="7" t="n"/>
      <c r="AG78" s="7" t="n"/>
      <c r="AH78" s="7" t="n"/>
      <c r="AI78" s="7" t="n"/>
      <c r="AJ78" s="7" t="n"/>
      <c r="AK78" s="7" t="n"/>
      <c r="AL78" s="7" t="n"/>
    </row>
    <row r="79" ht="133.2" customHeight="1" s="104">
      <c r="A79" s="44" t="inlineStr">
        <is>
          <t>2.62</t>
        </is>
      </c>
      <c r="B79" s="44" t="inlineStr">
        <is>
          <t>REMOÇÃO DE CONDUTORES DE BAIXA TENSÃO AÉREOS DE BITOLA ATÉ 70 MM2</t>
        </is>
      </c>
      <c r="C79" s="44" t="inlineStr">
        <is>
          <t>M</t>
        </is>
      </c>
      <c r="D79" s="45" t="n">
        <v>500</v>
      </c>
      <c r="E79" s="45" t="n"/>
      <c r="F79" s="45" t="n"/>
      <c r="G79" s="45">
        <f t="array" ref="G79">SUM(D79:F79)</f>
        <v/>
      </c>
      <c r="H79" s="121">
        <f t="array" ref="H79">VLOOKUP(A79,#REF!,5,0)</f>
        <v/>
      </c>
      <c r="I79" s="122" t="n">
        <v>0</v>
      </c>
      <c r="J79" s="123" t="n">
        <v>0</v>
      </c>
      <c r="K79" s="124" t="n">
        <v>0</v>
      </c>
      <c r="L79" s="123" t="n">
        <v>0</v>
      </c>
      <c r="M79" s="124" t="n">
        <v>0</v>
      </c>
      <c r="N79" s="124" t="n">
        <v>0</v>
      </c>
      <c r="O79" s="124" t="n">
        <v>0</v>
      </c>
      <c r="P79" s="124" t="n">
        <v>0</v>
      </c>
      <c r="Q79" s="124" t="n">
        <v>0</v>
      </c>
      <c r="R79" s="124" t="n">
        <v>0</v>
      </c>
      <c r="S79" s="124" t="n">
        <v>500</v>
      </c>
      <c r="T79" s="124" t="n">
        <v>0</v>
      </c>
      <c r="U79" s="124" t="n"/>
      <c r="V79" s="124" t="n"/>
      <c r="W79" s="125">
        <f t="array" ref="W79">SUM(I79:V79)</f>
        <v/>
      </c>
      <c r="X79" s="126" t="n">
        <v>0</v>
      </c>
      <c r="Y79" s="125">
        <f t="array" ref="Y79">W79+X79</f>
        <v/>
      </c>
      <c r="Z79" s="125">
        <f t="array" ref="Z79">G79-Y79</f>
        <v/>
      </c>
      <c r="AA79" s="121">
        <f t="array" ref="AA79">ROUND(W79*H79,2)</f>
        <v/>
      </c>
      <c r="AB79" s="127">
        <f t="array" ref="AB79">ROUND(X79*H79,2)</f>
        <v/>
      </c>
      <c r="AC79" s="121">
        <f t="array" ref="AC79">ROUND(AA79+AB79,2)</f>
        <v/>
      </c>
      <c r="AD79" s="127">
        <f t="array" ref="AD79">ROUND((G79*H79)-AC79,2)</f>
        <v/>
      </c>
      <c r="AE79" s="54">
        <f t="array" ref="AE79">_xlfn.IFERROR(ROUND(AC79/(G79*H79),2),0)</f>
        <v/>
      </c>
      <c r="AF79" s="7" t="n"/>
      <c r="AG79" s="7" t="n"/>
      <c r="AH79" s="7" t="n"/>
      <c r="AI79" s="7" t="n"/>
      <c r="AJ79" s="7" t="n"/>
      <c r="AK79" s="7" t="n"/>
      <c r="AL79" s="7" t="n"/>
    </row>
    <row r="80" ht="199.8" customHeight="1" s="104">
      <c r="A80" s="44" t="inlineStr">
        <is>
          <t>2.63</t>
        </is>
      </c>
      <c r="B80" s="44" t="inlineStr">
        <is>
          <t>REMOÇÃO DE CONDUTORES DE BAIXA TENSÃO, EMBUTIDOS EM ELETRODUTOS OU ENTERRADOS, DE BITOLA ATÉ 70 MM2</t>
        </is>
      </c>
      <c r="C80" s="44" t="inlineStr">
        <is>
          <t>M</t>
        </is>
      </c>
      <c r="D80" s="45" t="n">
        <v>500</v>
      </c>
      <c r="E80" s="45" t="n"/>
      <c r="F80" s="45" t="n"/>
      <c r="G80" s="45">
        <f t="array" ref="G80">SUM(D80:F80)</f>
        <v/>
      </c>
      <c r="H80" s="121">
        <f t="array" ref="H80">VLOOKUP(A80,#REF!,5,0)</f>
        <v/>
      </c>
      <c r="I80" s="122" t="n">
        <v>0</v>
      </c>
      <c r="J80" s="123" t="n">
        <v>0</v>
      </c>
      <c r="K80" s="124" t="n">
        <v>0</v>
      </c>
      <c r="L80" s="123" t="n">
        <v>0</v>
      </c>
      <c r="M80" s="124" t="n">
        <v>0</v>
      </c>
      <c r="N80" s="124" t="n">
        <v>0</v>
      </c>
      <c r="O80" s="124" t="n">
        <v>0</v>
      </c>
      <c r="P80" s="124" t="n">
        <v>0</v>
      </c>
      <c r="Q80" s="124" t="n">
        <v>0</v>
      </c>
      <c r="R80" s="124" t="n">
        <v>0</v>
      </c>
      <c r="S80" s="124" t="n">
        <v>0</v>
      </c>
      <c r="T80" s="124" t="n">
        <v>0</v>
      </c>
      <c r="U80" s="124" t="n"/>
      <c r="V80" s="124" t="n"/>
      <c r="W80" s="125">
        <f t="array" ref="W80">SUM(I80:V80)</f>
        <v/>
      </c>
      <c r="X80" s="126" t="n">
        <v>0</v>
      </c>
      <c r="Y80" s="125">
        <f t="array" ref="Y80">W80+X80</f>
        <v/>
      </c>
      <c r="Z80" s="125">
        <f t="array" ref="Z80">G80-Y80</f>
        <v/>
      </c>
      <c r="AA80" s="121">
        <f t="array" ref="AA80">ROUND(W80*H80,2)</f>
        <v/>
      </c>
      <c r="AB80" s="127">
        <f t="array" ref="AB80">ROUND(X80*H80,2)</f>
        <v/>
      </c>
      <c r="AC80" s="121">
        <f t="array" ref="AC80">ROUND(AA80+AB80,2)</f>
        <v/>
      </c>
      <c r="AD80" s="127">
        <f t="array" ref="AD80">ROUND((G80*H80)-AC80,2)</f>
        <v/>
      </c>
      <c r="AE80" s="54">
        <f t="array" ref="AE80">_xlfn.IFERROR(ROUND(AC80/(G80*H80),2),0)</f>
        <v/>
      </c>
      <c r="AF80" s="7" t="n"/>
      <c r="AG80" s="7" t="n"/>
      <c r="AH80" s="7" t="n"/>
      <c r="AI80" s="7" t="n"/>
      <c r="AJ80" s="7" t="n"/>
      <c r="AK80" s="7" t="n"/>
      <c r="AL80" s="7" t="n"/>
    </row>
    <row r="81" ht="133.2" customHeight="1" s="104">
      <c r="A81" s="44" t="inlineStr">
        <is>
          <t>2.64</t>
        </is>
      </c>
      <c r="B81" s="44" t="inlineStr">
        <is>
          <t>REMOÇÃO DE CONTROLADOR INDIVIDUAL PARA TELEGESTÃO DE LUMINÁRIA</t>
        </is>
      </c>
      <c r="C81" s="44" t="inlineStr">
        <is>
          <t>UN</t>
        </is>
      </c>
      <c r="D81" s="45" t="n">
        <v>25</v>
      </c>
      <c r="E81" s="45" t="n"/>
      <c r="F81" s="45" t="n"/>
      <c r="G81" s="45">
        <f t="array" ref="G81">SUM(D81:F81)</f>
        <v/>
      </c>
      <c r="H81" s="121">
        <f t="array" ref="H81">VLOOKUP(A81,#REF!,5,0)</f>
        <v/>
      </c>
      <c r="I81" s="122" t="n">
        <v>0</v>
      </c>
      <c r="J81" s="123" t="n">
        <v>0</v>
      </c>
      <c r="K81" s="124" t="n">
        <v>0</v>
      </c>
      <c r="L81" s="123" t="n">
        <v>0</v>
      </c>
      <c r="M81" s="124" t="n">
        <v>0</v>
      </c>
      <c r="N81" s="124" t="n">
        <v>0</v>
      </c>
      <c r="O81" s="124" t="n">
        <v>0</v>
      </c>
      <c r="P81" s="124" t="n">
        <v>0</v>
      </c>
      <c r="Q81" s="124" t="n">
        <v>0</v>
      </c>
      <c r="R81" s="124" t="n">
        <v>0</v>
      </c>
      <c r="S81" s="124" t="n">
        <v>4</v>
      </c>
      <c r="T81" s="124" t="n">
        <v>0</v>
      </c>
      <c r="U81" s="124" t="n"/>
      <c r="V81" s="124" t="n"/>
      <c r="W81" s="125">
        <f t="array" ref="W81">SUM(I81:V81)</f>
        <v/>
      </c>
      <c r="X81" s="126" t="n">
        <v>0</v>
      </c>
      <c r="Y81" s="125">
        <f t="array" ref="Y81">W81+X81</f>
        <v/>
      </c>
      <c r="Z81" s="125">
        <f t="array" ref="Z81">G81-Y81</f>
        <v/>
      </c>
      <c r="AA81" s="121">
        <f t="array" ref="AA81">ROUND(W81*H81,2)</f>
        <v/>
      </c>
      <c r="AB81" s="127">
        <f t="array" ref="AB81">ROUND(X81*H81,2)</f>
        <v/>
      </c>
      <c r="AC81" s="121">
        <f t="array" ref="AC81">ROUND(AA81+AB81,2)</f>
        <v/>
      </c>
      <c r="AD81" s="127">
        <f t="array" ref="AD81">ROUND((G81*H81)-AC81,2)</f>
        <v/>
      </c>
      <c r="AE81" s="54">
        <f t="array" ref="AE81">_xlfn.IFERROR(ROUND(AC81/(G81*H81),2),0)</f>
        <v/>
      </c>
      <c r="AF81" s="7" t="n"/>
      <c r="AG81" s="7" t="n"/>
      <c r="AH81" s="7" t="n"/>
      <c r="AI81" s="7" t="n"/>
      <c r="AJ81" s="7" t="n"/>
      <c r="AK81" s="7" t="n"/>
      <c r="AL81" s="7" t="n"/>
    </row>
    <row r="82" ht="133.2" customHeight="1" s="104">
      <c r="A82" s="44" t="inlineStr">
        <is>
          <t>2.65</t>
        </is>
      </c>
      <c r="B82" s="44" t="inlineStr">
        <is>
          <t>REMOÇÃO DE CORDA LUMINOSA COM DIÂMETRO ATÉ 13MM</t>
        </is>
      </c>
      <c r="C82" s="44" t="inlineStr">
        <is>
          <t>M</t>
        </is>
      </c>
      <c r="D82" s="45" t="n">
        <v>50</v>
      </c>
      <c r="E82" s="45" t="n"/>
      <c r="F82" s="45" t="n">
        <v>3300</v>
      </c>
      <c r="G82" s="45">
        <f t="array" ref="G82">SUM(D82:F82)</f>
        <v/>
      </c>
      <c r="H82" s="121">
        <f t="array" ref="H82">VLOOKUP(A82,#REF!,5,0)</f>
        <v/>
      </c>
      <c r="I82" s="122" t="n">
        <v>0</v>
      </c>
      <c r="J82" s="123" t="n">
        <v>1790</v>
      </c>
      <c r="K82" s="124" t="n">
        <v>106</v>
      </c>
      <c r="L82" s="123" t="n">
        <v>106</v>
      </c>
      <c r="M82" s="124" t="n">
        <v>0</v>
      </c>
      <c r="N82" s="124" t="n">
        <v>0</v>
      </c>
      <c r="O82" s="124" t="n">
        <v>0</v>
      </c>
      <c r="P82" s="124" t="n">
        <v>0</v>
      </c>
      <c r="Q82" s="124" t="n">
        <v>0</v>
      </c>
      <c r="R82" s="124" t="n">
        <v>0</v>
      </c>
      <c r="S82" s="124" t="n">
        <v>100</v>
      </c>
      <c r="T82" s="124" t="n">
        <v>0</v>
      </c>
      <c r="U82" s="124" t="n"/>
      <c r="V82" s="124" t="n"/>
      <c r="W82" s="125">
        <f t="array" ref="W82">SUM(I82:V82)</f>
        <v/>
      </c>
      <c r="X82" s="126" t="n">
        <v>0</v>
      </c>
      <c r="Y82" s="125">
        <f t="array" ref="Y82">W82+X82</f>
        <v/>
      </c>
      <c r="Z82" s="125">
        <f t="array" ref="Z82">G82-Y82</f>
        <v/>
      </c>
      <c r="AA82" s="121">
        <f t="array" ref="AA82">ROUND(W82*H82,2)</f>
        <v/>
      </c>
      <c r="AB82" s="127">
        <f t="array" ref="AB82">ROUND(X82*H82,2)</f>
        <v/>
      </c>
      <c r="AC82" s="121">
        <f t="array" ref="AC82">ROUND(AA82+AB82,2)</f>
        <v/>
      </c>
      <c r="AD82" s="127">
        <f t="array" ref="AD82">ROUND((G82*H82)-AC82,2)</f>
        <v/>
      </c>
      <c r="AE82" s="54">
        <f t="array" ref="AE82">_xlfn.IFERROR(ROUND(AC82/(G82*H82),2),0)</f>
        <v/>
      </c>
      <c r="AF82" s="7" t="n"/>
      <c r="AG82" s="7" t="n"/>
      <c r="AH82" s="7" t="n"/>
      <c r="AI82" s="133" t="n"/>
      <c r="AJ82" s="7" t="n"/>
      <c r="AK82" s="7" t="n"/>
      <c r="AL82" s="7" t="n"/>
    </row>
    <row r="83" ht="66.59999999999999" customHeight="1" s="104">
      <c r="A83" s="44" t="inlineStr">
        <is>
          <t>2.66</t>
        </is>
      </c>
      <c r="B83" s="44" t="inlineStr">
        <is>
          <t>REMOÇÃO DE CORDÃO COM 100 MICRO LÂMPADAS</t>
        </is>
      </c>
      <c r="C83" s="44" t="inlineStr">
        <is>
          <t>PÇ</t>
        </is>
      </c>
      <c r="D83" s="45" t="n">
        <v>65</v>
      </c>
      <c r="E83" s="45" t="n"/>
      <c r="F83" s="45" t="n"/>
      <c r="G83" s="45">
        <f t="array" ref="G83">SUM(D83:F83)</f>
        <v/>
      </c>
      <c r="H83" s="121">
        <f t="array" ref="H83">VLOOKUP(A83,#REF!,5,0)</f>
        <v/>
      </c>
      <c r="I83" s="122" t="n">
        <v>0</v>
      </c>
      <c r="J83" s="123" t="n">
        <v>0</v>
      </c>
      <c r="K83" s="124" t="n">
        <v>0</v>
      </c>
      <c r="L83" s="123" t="n">
        <v>0</v>
      </c>
      <c r="M83" s="124" t="n">
        <v>0</v>
      </c>
      <c r="N83" s="124" t="n">
        <v>0</v>
      </c>
      <c r="O83" s="124" t="n">
        <v>0</v>
      </c>
      <c r="P83" s="124" t="n">
        <v>0</v>
      </c>
      <c r="Q83" s="124" t="n">
        <v>0</v>
      </c>
      <c r="R83" s="124" t="n">
        <v>0</v>
      </c>
      <c r="S83" s="124" t="n">
        <v>0</v>
      </c>
      <c r="T83" s="124" t="n">
        <v>0</v>
      </c>
      <c r="U83" s="124" t="n"/>
      <c r="V83" s="124" t="n"/>
      <c r="W83" s="125">
        <f t="array" ref="W83">SUM(I83:V83)</f>
        <v/>
      </c>
      <c r="X83" s="126" t="n">
        <v>0</v>
      </c>
      <c r="Y83" s="125">
        <f t="array" ref="Y83">W83+X83</f>
        <v/>
      </c>
      <c r="Z83" s="125">
        <f t="array" ref="Z83">G83-Y83</f>
        <v/>
      </c>
      <c r="AA83" s="121">
        <f t="array" ref="AA83">ROUND(W83*H83,2)</f>
        <v/>
      </c>
      <c r="AB83" s="127">
        <f t="array" ref="AB83">ROUND(X83*H83,2)</f>
        <v/>
      </c>
      <c r="AC83" s="121">
        <f t="array" ref="AC83">ROUND(AA83+AB83,2)</f>
        <v/>
      </c>
      <c r="AD83" s="127">
        <f t="array" ref="AD83">ROUND((G83*H83)-AC83,2)</f>
        <v/>
      </c>
      <c r="AE83" s="54">
        <f t="array" ref="AE83">_xlfn.IFERROR(ROUND(AC83/(G83*H83),2),0)</f>
        <v/>
      </c>
      <c r="AF83" s="7" t="n"/>
      <c r="AG83" s="7" t="n"/>
      <c r="AH83" s="7" t="n"/>
      <c r="AI83" s="7" t="n"/>
      <c r="AJ83" s="7" t="n"/>
      <c r="AK83" s="7" t="n"/>
      <c r="AL83" s="7" t="n"/>
    </row>
    <row r="84" ht="66.59999999999999" customHeight="1" s="104">
      <c r="A84" s="44" t="inlineStr">
        <is>
          <t>2.67</t>
        </is>
      </c>
      <c r="B84" s="44" t="inlineStr">
        <is>
          <t>REMOÇÃO DE ELETRODUTO APARENTE</t>
        </is>
      </c>
      <c r="C84" s="44" t="inlineStr">
        <is>
          <t>M</t>
        </is>
      </c>
      <c r="D84" s="45" t="n">
        <v>5</v>
      </c>
      <c r="E84" s="45" t="n"/>
      <c r="F84" s="45" t="n"/>
      <c r="G84" s="45">
        <f t="array" ref="G84">SUM(D84:F84)</f>
        <v/>
      </c>
      <c r="H84" s="121">
        <f t="array" ref="H84">VLOOKUP(A84,#REF!,5,0)</f>
        <v/>
      </c>
      <c r="I84" s="122" t="n">
        <v>0</v>
      </c>
      <c r="J84" s="123" t="n">
        <v>0</v>
      </c>
      <c r="K84" s="124" t="n">
        <v>0</v>
      </c>
      <c r="L84" s="123" t="n">
        <v>0</v>
      </c>
      <c r="M84" s="124" t="n">
        <v>0</v>
      </c>
      <c r="N84" s="124" t="n">
        <v>0</v>
      </c>
      <c r="O84" s="124" t="n">
        <v>0</v>
      </c>
      <c r="P84" s="124" t="n">
        <v>0</v>
      </c>
      <c r="Q84" s="124" t="n">
        <v>0</v>
      </c>
      <c r="R84" s="124" t="n">
        <v>0</v>
      </c>
      <c r="S84" s="124" t="n">
        <v>0</v>
      </c>
      <c r="T84" s="124" t="n">
        <v>0</v>
      </c>
      <c r="U84" s="124" t="n"/>
      <c r="V84" s="124" t="n"/>
      <c r="W84" s="125">
        <f t="array" ref="W84">SUM(I84:V84)</f>
        <v/>
      </c>
      <c r="X84" s="126" t="n">
        <v>0</v>
      </c>
      <c r="Y84" s="125">
        <f t="array" ref="Y84">W84+X84</f>
        <v/>
      </c>
      <c r="Z84" s="125">
        <f t="array" ref="Z84">G84-Y84</f>
        <v/>
      </c>
      <c r="AA84" s="121">
        <f t="array" ref="AA84">ROUND(W84*H84,2)</f>
        <v/>
      </c>
      <c r="AB84" s="127">
        <f t="array" ref="AB84">ROUND(X84*H84,2)</f>
        <v/>
      </c>
      <c r="AC84" s="121">
        <f t="array" ref="AC84">ROUND(AA84+AB84,2)</f>
        <v/>
      </c>
      <c r="AD84" s="127">
        <f t="array" ref="AD84">ROUND((G84*H84)-AC84,2)</f>
        <v/>
      </c>
      <c r="AE84" s="54">
        <f t="array" ref="AE84">_xlfn.IFERROR(ROUND(AC84/(G84*H84),2),0)</f>
        <v/>
      </c>
      <c r="AF84" s="7" t="n"/>
      <c r="AG84" s="7" t="n"/>
      <c r="AH84" s="7" t="n"/>
      <c r="AI84" s="7" t="n"/>
      <c r="AJ84" s="7" t="n"/>
      <c r="AK84" s="7" t="n"/>
      <c r="AL84" s="7" t="n"/>
    </row>
    <row r="85" ht="133.2" customHeight="1" s="104">
      <c r="A85" s="44" t="inlineStr">
        <is>
          <t>2.68</t>
        </is>
      </c>
      <c r="B85" s="44" t="inlineStr">
        <is>
          <t>REMOÇÃO DE FIGURA LUMINOSA EM POSTES, BRAÇOS EXISTENTES OU PAREDE DE EDIFICAÇÃO</t>
        </is>
      </c>
      <c r="C85" s="44" t="inlineStr">
        <is>
          <t>M</t>
        </is>
      </c>
      <c r="D85" s="45" t="n">
        <v>32</v>
      </c>
      <c r="E85" s="45" t="n"/>
      <c r="F85" s="45" t="n"/>
      <c r="G85" s="45">
        <f t="array" ref="G85">SUM(D85:F85)</f>
        <v/>
      </c>
      <c r="H85" s="121">
        <f t="array" ref="H85">VLOOKUP(A85,#REF!,5,0)</f>
        <v/>
      </c>
      <c r="I85" s="122" t="n">
        <v>0</v>
      </c>
      <c r="J85" s="123" t="n">
        <v>4</v>
      </c>
      <c r="K85" s="124" t="n">
        <v>0</v>
      </c>
      <c r="L85" s="123" t="n">
        <v>0</v>
      </c>
      <c r="M85" s="124" t="n">
        <v>0</v>
      </c>
      <c r="N85" s="124" t="n">
        <v>0</v>
      </c>
      <c r="O85" s="124" t="n">
        <v>0</v>
      </c>
      <c r="P85" s="124" t="n">
        <v>0</v>
      </c>
      <c r="Q85" s="124" t="n">
        <v>0</v>
      </c>
      <c r="R85" s="124" t="n">
        <v>0</v>
      </c>
      <c r="S85" s="124" t="n">
        <v>0</v>
      </c>
      <c r="T85" s="124" t="n">
        <v>0</v>
      </c>
      <c r="U85" s="124" t="n"/>
      <c r="V85" s="124" t="n"/>
      <c r="W85" s="125">
        <f t="array" ref="W85">SUM(I85:V85)</f>
        <v/>
      </c>
      <c r="X85" s="126" t="n">
        <v>0</v>
      </c>
      <c r="Y85" s="125">
        <f t="array" ref="Y85">W85+X85</f>
        <v/>
      </c>
      <c r="Z85" s="125">
        <f t="array" ref="Z85">G85-Y85</f>
        <v/>
      </c>
      <c r="AA85" s="121">
        <f t="array" ref="AA85">ROUND(W85*H85,2)</f>
        <v/>
      </c>
      <c r="AB85" s="127">
        <f t="array" ref="AB85">ROUND(X85*H85,2)</f>
        <v/>
      </c>
      <c r="AC85" s="121">
        <f t="array" ref="AC85">ROUND(AA85+AB85,2)</f>
        <v/>
      </c>
      <c r="AD85" s="127">
        <f t="array" ref="AD85">ROUND((G85*H85)-AC85,2)</f>
        <v/>
      </c>
      <c r="AE85" s="54">
        <f t="array" ref="AE85">_xlfn.IFERROR(ROUND(AC85/(G85*H85),2),0)</f>
        <v/>
      </c>
      <c r="AF85" s="7" t="n"/>
      <c r="AG85" s="7" t="n"/>
      <c r="AH85" s="7" t="n"/>
      <c r="AI85" s="7" t="n"/>
      <c r="AJ85" s="7" t="n"/>
      <c r="AK85" s="7" t="n"/>
      <c r="AL85" s="7" t="n"/>
    </row>
    <row r="86" ht="66.59999999999999" customHeight="1" s="104">
      <c r="A86" s="44" t="inlineStr">
        <is>
          <t>2.69</t>
        </is>
      </c>
      <c r="B86" s="44" t="inlineStr">
        <is>
          <t>REMOÇÃO DE GRADE DE PROTEÇÃO PARA PROJETOR</t>
        </is>
      </c>
      <c r="C86" s="44" t="inlineStr">
        <is>
          <t>CJ</t>
        </is>
      </c>
      <c r="D86" s="45" t="n">
        <v>1</v>
      </c>
      <c r="E86" s="45" t="n"/>
      <c r="F86" s="45" t="n"/>
      <c r="G86" s="45">
        <f t="array" ref="G86">SUM(D86:F86)</f>
        <v/>
      </c>
      <c r="H86" s="121">
        <f t="array" ref="H86">VLOOKUP(A86,#REF!,5,0)</f>
        <v/>
      </c>
      <c r="I86" s="122" t="n">
        <v>0</v>
      </c>
      <c r="J86" s="123" t="n">
        <v>0</v>
      </c>
      <c r="K86" s="124" t="n">
        <v>0</v>
      </c>
      <c r="L86" s="123" t="n">
        <v>0</v>
      </c>
      <c r="M86" s="124" t="n">
        <v>0</v>
      </c>
      <c r="N86" s="124" t="n">
        <v>0</v>
      </c>
      <c r="O86" s="124" t="n">
        <v>0</v>
      </c>
      <c r="P86" s="124" t="n">
        <v>0</v>
      </c>
      <c r="Q86" s="124" t="n">
        <v>0</v>
      </c>
      <c r="R86" s="124" t="n">
        <v>0</v>
      </c>
      <c r="S86" s="124" t="n">
        <v>0</v>
      </c>
      <c r="T86" s="124" t="n">
        <v>0</v>
      </c>
      <c r="U86" s="124" t="n"/>
      <c r="V86" s="124" t="n"/>
      <c r="W86" s="125">
        <f t="array" ref="W86">SUM(I86:V86)</f>
        <v/>
      </c>
      <c r="X86" s="126" t="n">
        <v>0</v>
      </c>
      <c r="Y86" s="125">
        <f t="array" ref="Y86">W86+X86</f>
        <v/>
      </c>
      <c r="Z86" s="125">
        <f t="array" ref="Z86">G86-Y86</f>
        <v/>
      </c>
      <c r="AA86" s="121">
        <f t="array" ref="AA86">ROUND(W86*H86,2)</f>
        <v/>
      </c>
      <c r="AB86" s="127">
        <f t="array" ref="AB86">ROUND(X86*H86,2)</f>
        <v/>
      </c>
      <c r="AC86" s="121">
        <f t="array" ref="AC86">ROUND(AA86+AB86,2)</f>
        <v/>
      </c>
      <c r="AD86" s="127">
        <f t="array" ref="AD86">ROUND((G86*H86)-AC86,2)</f>
        <v/>
      </c>
      <c r="AE86" s="54">
        <f t="array" ref="AE86">_xlfn.IFERROR(ROUND(AC86/(G86*H86),2),0)</f>
        <v/>
      </c>
      <c r="AF86" s="7" t="n"/>
      <c r="AG86" s="7" t="n"/>
      <c r="AH86" s="7" t="n"/>
      <c r="AI86" s="7" t="n"/>
      <c r="AJ86" s="7" t="n"/>
      <c r="AK86" s="7" t="n"/>
      <c r="AL86" s="7" t="n"/>
    </row>
    <row r="87" ht="66.59999999999999" customHeight="1" s="104">
      <c r="A87" s="44" t="inlineStr">
        <is>
          <t>2.70</t>
        </is>
      </c>
      <c r="B87" s="44" t="inlineStr">
        <is>
          <t>REMOÇÃO DE LUMINÁRIA EM BRAÇO DE 1 METRO</t>
        </is>
      </c>
      <c r="C87" s="44" t="inlineStr">
        <is>
          <t>UN</t>
        </is>
      </c>
      <c r="D87" s="45" t="n">
        <v>1222</v>
      </c>
      <c r="E87" s="45" t="n"/>
      <c r="F87" s="45" t="n"/>
      <c r="G87" s="45">
        <f t="array" ref="G87">SUM(D87:F87)</f>
        <v/>
      </c>
      <c r="H87" s="121">
        <f t="array" ref="H87">VLOOKUP(A87,#REF!,5,0)</f>
        <v/>
      </c>
      <c r="I87" s="122" t="n">
        <v>0</v>
      </c>
      <c r="J87" s="123" t="n">
        <v>300</v>
      </c>
      <c r="K87" s="124" t="n">
        <v>20</v>
      </c>
      <c r="L87" s="123" t="n">
        <v>78</v>
      </c>
      <c r="M87" s="124" t="n">
        <v>228</v>
      </c>
      <c r="N87" s="124" t="n">
        <v>200</v>
      </c>
      <c r="O87" s="124" t="n">
        <v>94</v>
      </c>
      <c r="P87" s="124" t="n">
        <v>90</v>
      </c>
      <c r="Q87" s="124" t="n">
        <v>212</v>
      </c>
      <c r="R87" s="124" t="n">
        <v>0</v>
      </c>
      <c r="S87" s="124" t="n">
        <v>0</v>
      </c>
      <c r="T87" s="124" t="n">
        <v>0</v>
      </c>
      <c r="U87" s="124" t="n"/>
      <c r="V87" s="124" t="n"/>
      <c r="W87" s="125">
        <f t="array" ref="W87">SUM(I87:V87)</f>
        <v/>
      </c>
      <c r="X87" s="126" t="n">
        <v>0</v>
      </c>
      <c r="Y87" s="125">
        <f t="array" ref="Y87">W87+X87</f>
        <v/>
      </c>
      <c r="Z87" s="125">
        <f t="array" ref="Z87">G87-Y87</f>
        <v/>
      </c>
      <c r="AA87" s="121">
        <f t="array" ref="AA87">ROUND(W87*H87,2)</f>
        <v/>
      </c>
      <c r="AB87" s="127">
        <f t="array" ref="AB87">ROUND(X87*H87,2)</f>
        <v/>
      </c>
      <c r="AC87" s="121">
        <f t="array" ref="AC87">ROUND(AA87+AB87,2)</f>
        <v/>
      </c>
      <c r="AD87" s="127">
        <f t="array" ref="AD87">ROUND((G87*H87)-AC87,2)</f>
        <v/>
      </c>
      <c r="AE87" s="54">
        <f t="array" ref="AE87">_xlfn.IFERROR(ROUND(AC87/(G87*H87),2),0)</f>
        <v/>
      </c>
      <c r="AF87" s="7" t="n"/>
      <c r="AG87" s="7" t="n"/>
      <c r="AH87" s="7" t="n"/>
      <c r="AI87" s="7" t="n"/>
      <c r="AJ87" s="7" t="n"/>
      <c r="AK87" s="7" t="n"/>
      <c r="AL87" s="7" t="n"/>
    </row>
    <row r="88" ht="66.59999999999999" customHeight="1" s="104">
      <c r="A88" s="44" t="inlineStr">
        <is>
          <t>2.71</t>
        </is>
      </c>
      <c r="B88" s="44" t="inlineStr">
        <is>
          <t>REMOÇÃO DE LUMINÁRIA EM BRAÇO SUPERIOR A 1METRO</t>
        </is>
      </c>
      <c r="C88" s="44" t="inlineStr">
        <is>
          <t>UN</t>
        </is>
      </c>
      <c r="D88" s="45" t="n">
        <v>175</v>
      </c>
      <c r="E88" s="45" t="n"/>
      <c r="F88" s="45" t="n"/>
      <c r="G88" s="45">
        <f t="array" ref="G88">SUM(D88:F88)</f>
        <v/>
      </c>
      <c r="H88" s="121">
        <f t="array" ref="H88">VLOOKUP(A88,#REF!,5,0)</f>
        <v/>
      </c>
      <c r="I88" s="122" t="n">
        <v>0</v>
      </c>
      <c r="J88" s="123" t="n">
        <v>0</v>
      </c>
      <c r="K88" s="124" t="n">
        <v>70</v>
      </c>
      <c r="L88" s="123" t="n">
        <v>0</v>
      </c>
      <c r="M88" s="124" t="n">
        <v>0</v>
      </c>
      <c r="N88" s="124" t="n">
        <v>28</v>
      </c>
      <c r="O88" s="124" t="n">
        <v>0</v>
      </c>
      <c r="P88" s="124" t="n">
        <v>0</v>
      </c>
      <c r="Q88" s="124" t="n">
        <v>8</v>
      </c>
      <c r="R88" s="124" t="n">
        <v>59</v>
      </c>
      <c r="S88" s="124" t="n">
        <v>4</v>
      </c>
      <c r="T88" s="124" t="n">
        <v>0</v>
      </c>
      <c r="U88" s="124" t="n"/>
      <c r="V88" s="124" t="n"/>
      <c r="W88" s="125">
        <f t="array" ref="W88">SUM(I88:V88)</f>
        <v/>
      </c>
      <c r="X88" s="126" t="n">
        <v>0</v>
      </c>
      <c r="Y88" s="125">
        <f t="array" ref="Y88">W88+X88</f>
        <v/>
      </c>
      <c r="Z88" s="125">
        <f t="array" ref="Z88">G88-Y88</f>
        <v/>
      </c>
      <c r="AA88" s="121">
        <f t="array" ref="AA88">ROUND(W88*H88,2)</f>
        <v/>
      </c>
      <c r="AB88" s="127">
        <f t="array" ref="AB88">ROUND(X88*H88,2)</f>
        <v/>
      </c>
      <c r="AC88" s="121">
        <f t="array" ref="AC88">ROUND(AA88+AB88,2)</f>
        <v/>
      </c>
      <c r="AD88" s="127">
        <f t="array" ref="AD88">ROUND((G88*H88)-AC88,2)</f>
        <v/>
      </c>
      <c r="AE88" s="54">
        <f t="array" ref="AE88">_xlfn.IFERROR(ROUND(AC88/(G88*H88),2),0)</f>
        <v/>
      </c>
      <c r="AF88" s="7" t="n"/>
      <c r="AG88" s="7" t="n"/>
      <c r="AH88" s="7" t="n"/>
      <c r="AI88" s="7" t="n"/>
      <c r="AJ88" s="7" t="n"/>
      <c r="AK88" s="7" t="n"/>
      <c r="AL88" s="7" t="n"/>
    </row>
    <row r="89" ht="133.2" customHeight="1" s="104">
      <c r="A89" s="44" t="inlineStr">
        <is>
          <t>2.72</t>
        </is>
      </c>
      <c r="B89" s="44" t="inlineStr">
        <is>
          <t>REMOÇÃO DE LUMINÁRIA OU PROJETOR EM POSTE OU EM BRAÇO ORNAMENTAL, EM ALTURA DE ATÉ 10 METROS</t>
        </is>
      </c>
      <c r="C89" s="44" t="inlineStr">
        <is>
          <t>UN</t>
        </is>
      </c>
      <c r="D89" s="45" t="n">
        <v>250</v>
      </c>
      <c r="E89" s="45" t="n"/>
      <c r="F89" s="45" t="n"/>
      <c r="G89" s="45">
        <f t="array" ref="G89">SUM(D89:F89)</f>
        <v/>
      </c>
      <c r="H89" s="121">
        <f t="array" ref="H89">VLOOKUP(A89,#REF!,5,0)</f>
        <v/>
      </c>
      <c r="I89" s="122" t="n">
        <v>80</v>
      </c>
      <c r="J89" s="123" t="n">
        <v>29</v>
      </c>
      <c r="K89" s="124" t="n">
        <v>84</v>
      </c>
      <c r="L89" s="123" t="n">
        <v>44</v>
      </c>
      <c r="M89" s="124" t="n">
        <v>2</v>
      </c>
      <c r="N89" s="124" t="n">
        <v>0</v>
      </c>
      <c r="O89" s="124" t="n">
        <v>0</v>
      </c>
      <c r="P89" s="124" t="n">
        <v>0</v>
      </c>
      <c r="Q89" s="124" t="n">
        <v>2</v>
      </c>
      <c r="R89" s="124" t="n">
        <v>9</v>
      </c>
      <c r="S89" s="124" t="n">
        <v>0</v>
      </c>
      <c r="T89" s="124" t="n">
        <v>0</v>
      </c>
      <c r="U89" s="124" t="n"/>
      <c r="V89" s="124" t="n"/>
      <c r="W89" s="125">
        <f t="array" ref="W89">SUM(I89:V89)</f>
        <v/>
      </c>
      <c r="X89" s="126" t="n">
        <v>0</v>
      </c>
      <c r="Y89" s="125">
        <f t="array" ref="Y89">W89+X89</f>
        <v/>
      </c>
      <c r="Z89" s="125">
        <f t="array" ref="Z89">G89-Y89</f>
        <v/>
      </c>
      <c r="AA89" s="121">
        <f t="array" ref="AA89">ROUND(W89*H89,2)</f>
        <v/>
      </c>
      <c r="AB89" s="127">
        <f t="array" ref="AB89">ROUND(X89*H89,2)</f>
        <v/>
      </c>
      <c r="AC89" s="121">
        <f t="array" ref="AC89">ROUND(AA89+AB89,2)</f>
        <v/>
      </c>
      <c r="AD89" s="127">
        <f t="array" ref="AD89">ROUND((G89*H89)-AC89,2)</f>
        <v/>
      </c>
      <c r="AE89" s="54">
        <f t="array" ref="AE89">_xlfn.IFERROR(ROUND(AC89/(G89*H89),2),0)</f>
        <v/>
      </c>
      <c r="AF89" s="7" t="n"/>
      <c r="AG89" s="7" t="n"/>
      <c r="AH89" s="7" t="n"/>
      <c r="AI89" s="7" t="n"/>
      <c r="AJ89" s="7" t="n"/>
      <c r="AK89" s="7" t="n"/>
      <c r="AL89" s="7" t="n"/>
    </row>
    <row r="90" ht="133.2" customHeight="1" s="104">
      <c r="A90" s="44" t="inlineStr">
        <is>
          <t>2.73</t>
        </is>
      </c>
      <c r="B90" s="44" t="inlineStr">
        <is>
          <t>REMOÇÃO DE LUMINÁRIA OU PROJETOR EMBUTIDO NO PISO</t>
        </is>
      </c>
      <c r="C90" s="44" t="inlineStr">
        <is>
          <t>UN</t>
        </is>
      </c>
      <c r="D90" s="45" t="n">
        <v>5</v>
      </c>
      <c r="E90" s="45" t="n"/>
      <c r="F90" s="45" t="n"/>
      <c r="G90" s="45">
        <f t="array" ref="G90">SUM(D90:F90)</f>
        <v/>
      </c>
      <c r="H90" s="121">
        <f t="array" ref="H90">VLOOKUP(A90,#REF!,5,0)</f>
        <v/>
      </c>
      <c r="I90" s="122" t="n">
        <v>0</v>
      </c>
      <c r="J90" s="123" t="n">
        <v>0</v>
      </c>
      <c r="K90" s="124" t="n">
        <v>0</v>
      </c>
      <c r="L90" s="123" t="n">
        <v>0</v>
      </c>
      <c r="M90" s="124" t="n">
        <v>0</v>
      </c>
      <c r="N90" s="124" t="n">
        <v>0</v>
      </c>
      <c r="O90" s="124" t="n">
        <v>0</v>
      </c>
      <c r="P90" s="124" t="n">
        <v>0</v>
      </c>
      <c r="Q90" s="124" t="n">
        <v>0</v>
      </c>
      <c r="R90" s="124" t="n">
        <v>0</v>
      </c>
      <c r="S90" s="124" t="n">
        <v>0</v>
      </c>
      <c r="T90" s="124" t="n">
        <v>0</v>
      </c>
      <c r="U90" s="124" t="n"/>
      <c r="V90" s="124" t="n"/>
      <c r="W90" s="125">
        <f t="array" ref="W90">SUM(I90:V90)</f>
        <v/>
      </c>
      <c r="X90" s="126" t="n">
        <v>0</v>
      </c>
      <c r="Y90" s="125">
        <f t="array" ref="Y90">W90+X90</f>
        <v/>
      </c>
      <c r="Z90" s="125">
        <f t="array" ref="Z90">G90-Y90</f>
        <v/>
      </c>
      <c r="AA90" s="121">
        <f t="array" ref="AA90">ROUND(W90*H90,2)</f>
        <v/>
      </c>
      <c r="AB90" s="127">
        <f t="array" ref="AB90">ROUND(X90*H90,2)</f>
        <v/>
      </c>
      <c r="AC90" s="121">
        <f t="array" ref="AC90">ROUND(AA90+AB90,2)</f>
        <v/>
      </c>
      <c r="AD90" s="127">
        <f t="array" ref="AD90">ROUND((G90*H90)-AC90,2)</f>
        <v/>
      </c>
      <c r="AE90" s="54">
        <f t="array" ref="AE90">_xlfn.IFERROR(ROUND(AC90/(G90*H90),2),0)</f>
        <v/>
      </c>
      <c r="AF90" s="7" t="n"/>
      <c r="AG90" s="7" t="n"/>
      <c r="AH90" s="7" t="n"/>
      <c r="AI90" s="7" t="n"/>
      <c r="AJ90" s="7" t="n"/>
      <c r="AK90" s="7" t="n"/>
      <c r="AL90" s="7" t="n"/>
    </row>
    <row r="91" ht="66.59999999999999" customHeight="1" s="104">
      <c r="A91" s="44" t="inlineStr">
        <is>
          <t>2.74</t>
        </is>
      </c>
      <c r="B91" s="44" t="inlineStr">
        <is>
          <t>REMOÇÃO DE PLACA DE OBRA</t>
        </is>
      </c>
      <c r="C91" s="44" t="inlineStr">
        <is>
          <t>UN</t>
        </is>
      </c>
      <c r="D91" s="45" t="n">
        <v>12</v>
      </c>
      <c r="E91" s="45" t="n"/>
      <c r="F91" s="45" t="n"/>
      <c r="G91" s="45">
        <f t="array" ref="G91">SUM(D91:F91)</f>
        <v/>
      </c>
      <c r="H91" s="121">
        <f t="array" ref="H91">VLOOKUP(A91,#REF!,5,0)</f>
        <v/>
      </c>
      <c r="I91" s="122" t="n">
        <v>0</v>
      </c>
      <c r="J91" s="123" t="n">
        <v>0</v>
      </c>
      <c r="K91" s="124" t="n">
        <v>0</v>
      </c>
      <c r="L91" s="123" t="n">
        <v>0</v>
      </c>
      <c r="M91" s="124" t="n">
        <v>0</v>
      </c>
      <c r="N91" s="124" t="n">
        <v>0</v>
      </c>
      <c r="O91" s="124" t="n">
        <v>0</v>
      </c>
      <c r="P91" s="124" t="n">
        <v>0</v>
      </c>
      <c r="Q91" s="124" t="n">
        <v>0</v>
      </c>
      <c r="R91" s="124" t="n">
        <v>0</v>
      </c>
      <c r="S91" s="124" t="n">
        <v>0</v>
      </c>
      <c r="T91" s="124" t="n">
        <v>0</v>
      </c>
      <c r="U91" s="124" t="n"/>
      <c r="V91" s="124" t="n"/>
      <c r="W91" s="125">
        <f t="array" ref="W91">SUM(I91:V91)</f>
        <v/>
      </c>
      <c r="X91" s="126" t="n">
        <v>0</v>
      </c>
      <c r="Y91" s="125">
        <f t="array" ref="Y91">W91+X91</f>
        <v/>
      </c>
      <c r="Z91" s="125">
        <f t="array" ref="Z91">G91-Y91</f>
        <v/>
      </c>
      <c r="AA91" s="121">
        <f t="array" ref="AA91">ROUND(W91*H91,2)</f>
        <v/>
      </c>
      <c r="AB91" s="127">
        <f t="array" ref="AB91">ROUND(X91*H91,2)</f>
        <v/>
      </c>
      <c r="AC91" s="121">
        <f t="array" ref="AC91">ROUND(AA91+AB91,2)</f>
        <v/>
      </c>
      <c r="AD91" s="127">
        <f t="array" ref="AD91">ROUND((G91*H91)-AC91,2)</f>
        <v/>
      </c>
      <c r="AE91" s="54">
        <f t="array" ref="AE91">_xlfn.IFERROR(ROUND(AC91/(G91*H91),2),0)</f>
        <v/>
      </c>
      <c r="AF91" s="7" t="n"/>
      <c r="AG91" s="7" t="n"/>
      <c r="AH91" s="7" t="n"/>
      <c r="AI91" s="7" t="n"/>
      <c r="AJ91" s="7" t="n"/>
      <c r="AK91" s="7" t="n"/>
      <c r="AL91" s="7" t="n"/>
    </row>
    <row r="92" ht="66.59999999999999" customHeight="1" s="104">
      <c r="A92" s="44" t="inlineStr">
        <is>
          <t>2.75</t>
        </is>
      </c>
      <c r="B92" s="44" t="inlineStr">
        <is>
          <t>REMOÇÃO DE POSTE ATÉ 10 METROS</t>
        </is>
      </c>
      <c r="C92" s="44" t="inlineStr">
        <is>
          <t>UN</t>
        </is>
      </c>
      <c r="D92" s="45" t="n">
        <v>10</v>
      </c>
      <c r="E92" s="45" t="n"/>
      <c r="F92" s="45" t="n"/>
      <c r="G92" s="45">
        <f t="array" ref="G92">SUM(D92:F92)</f>
        <v/>
      </c>
      <c r="H92" s="121">
        <f t="array" ref="H92">VLOOKUP(A92,#REF!,5,0)</f>
        <v/>
      </c>
      <c r="I92" s="122" t="n">
        <v>0</v>
      </c>
      <c r="J92" s="123" t="n">
        <v>0</v>
      </c>
      <c r="K92" s="124" t="n">
        <v>10</v>
      </c>
      <c r="L92" s="123" t="n">
        <v>0</v>
      </c>
      <c r="M92" s="124" t="n">
        <v>0</v>
      </c>
      <c r="N92" s="124" t="n">
        <v>0</v>
      </c>
      <c r="O92" s="124" t="n">
        <v>0</v>
      </c>
      <c r="P92" s="124" t="n">
        <v>0</v>
      </c>
      <c r="Q92" s="124" t="n">
        <v>0</v>
      </c>
      <c r="R92" s="124" t="n">
        <v>0</v>
      </c>
      <c r="S92" s="124" t="n">
        <v>0</v>
      </c>
      <c r="T92" s="124" t="n">
        <v>0</v>
      </c>
      <c r="U92" s="124" t="n"/>
      <c r="V92" s="124" t="n"/>
      <c r="W92" s="125">
        <f t="array" ref="W92">SUM(I92:V92)</f>
        <v/>
      </c>
      <c r="X92" s="126" t="n">
        <v>0</v>
      </c>
      <c r="Y92" s="125">
        <f t="array" ref="Y92">W92+X92</f>
        <v/>
      </c>
      <c r="Z92" s="125">
        <f t="array" ref="Z92">G92-Y92</f>
        <v/>
      </c>
      <c r="AA92" s="121">
        <f t="array" ref="AA92">ROUND(W92*H92,2)</f>
        <v/>
      </c>
      <c r="AB92" s="127">
        <f t="array" ref="AB92">ROUND(X92*H92,2)</f>
        <v/>
      </c>
      <c r="AC92" s="121">
        <f t="array" ref="AC92">ROUND(AA92+AB92,2)</f>
        <v/>
      </c>
      <c r="AD92" s="127">
        <f t="array" ref="AD92">ROUND((G92*H92)-AC92,2)</f>
        <v/>
      </c>
      <c r="AE92" s="54">
        <f t="array" ref="AE92">_xlfn.IFERROR(ROUND(AC92/(G92*H92),2),0)</f>
        <v/>
      </c>
      <c r="AF92" s="7" t="n"/>
      <c r="AG92" s="7" t="n"/>
      <c r="AH92" s="7" t="n"/>
      <c r="AI92" s="7" t="n"/>
      <c r="AJ92" s="7" t="n"/>
      <c r="AK92" s="7" t="n"/>
      <c r="AL92" s="7" t="n"/>
    </row>
    <row r="93" ht="133.2" customHeight="1" s="104">
      <c r="A93" s="44" t="inlineStr">
        <is>
          <t>2.76</t>
        </is>
      </c>
      <c r="B93" s="44" t="inlineStr">
        <is>
          <t>REMOÇÃO DE PROJETOR EM FACHADA ALTURA ATÉ 10 METROS</t>
        </is>
      </c>
      <c r="C93" s="44" t="inlineStr">
        <is>
          <t>UN</t>
        </is>
      </c>
      <c r="D93" s="45" t="n">
        <v>1047.45</v>
      </c>
      <c r="E93" s="45" t="n"/>
      <c r="F93" s="45" t="n"/>
      <c r="G93" s="45">
        <f t="array" ref="G93">SUM(D93:F93)</f>
        <v/>
      </c>
      <c r="H93" s="121">
        <f t="array" ref="H93">VLOOKUP(A93,#REF!,5,0)</f>
        <v/>
      </c>
      <c r="I93" s="122" t="n">
        <v>0</v>
      </c>
      <c r="J93" s="123" t="n">
        <v>0</v>
      </c>
      <c r="K93" s="124" t="n">
        <v>2</v>
      </c>
      <c r="L93" s="123" t="n">
        <v>30</v>
      </c>
      <c r="M93" s="124" t="n">
        <v>0</v>
      </c>
      <c r="N93" s="124" t="n">
        <v>0</v>
      </c>
      <c r="O93" s="124" t="n">
        <v>0</v>
      </c>
      <c r="P93" s="124" t="n">
        <v>0</v>
      </c>
      <c r="Q93" s="124" t="n">
        <v>0</v>
      </c>
      <c r="R93" s="124" t="n">
        <v>0</v>
      </c>
      <c r="S93" s="124" t="n">
        <v>38</v>
      </c>
      <c r="T93" s="124" t="n">
        <v>21</v>
      </c>
      <c r="U93" s="124" t="n"/>
      <c r="V93" s="124" t="n"/>
      <c r="W93" s="125">
        <f t="array" ref="W93">SUM(I93:V93)</f>
        <v/>
      </c>
      <c r="X93" s="126" t="n">
        <v>0</v>
      </c>
      <c r="Y93" s="125">
        <f t="array" ref="Y93">W93+X93</f>
        <v/>
      </c>
      <c r="Z93" s="125">
        <f t="array" ref="Z93">G93-Y93</f>
        <v/>
      </c>
      <c r="AA93" s="121">
        <f t="array" ref="AA93">ROUND(W93*H93,2)</f>
        <v/>
      </c>
      <c r="AB93" s="127">
        <f t="array" ref="AB93">ROUND(X93*H93,2)</f>
        <v/>
      </c>
      <c r="AC93" s="121">
        <f t="array" ref="AC93">ROUND(AA93+AB93,2)</f>
        <v/>
      </c>
      <c r="AD93" s="127">
        <f t="array" ref="AD93">ROUND((G93*H93)-AC93,2)</f>
        <v/>
      </c>
      <c r="AE93" s="54">
        <f t="array" ref="AE93">_xlfn.IFERROR(ROUND(AC93/(G93*H93),2),0)</f>
        <v/>
      </c>
      <c r="AF93" s="7" t="n"/>
      <c r="AG93" s="7" t="n"/>
      <c r="AH93" s="7" t="n"/>
      <c r="AI93" s="7" t="n"/>
      <c r="AJ93" s="7" t="n"/>
      <c r="AK93" s="7" t="n"/>
      <c r="AL93" s="7" t="n"/>
    </row>
    <row r="94" ht="133.2" customHeight="1" s="104">
      <c r="A94" s="44" t="inlineStr">
        <is>
          <t>2.77</t>
        </is>
      </c>
      <c r="B94" s="44" t="inlineStr">
        <is>
          <t>REMOÇÃO DE PROJETOR EM FACHADAS ALTURA SUPERIOR A 10 METROS</t>
        </is>
      </c>
      <c r="C94" s="44" t="inlineStr">
        <is>
          <t>UN</t>
        </is>
      </c>
      <c r="D94" s="45" t="n">
        <v>10</v>
      </c>
      <c r="E94" s="45" t="n"/>
      <c r="F94" s="45" t="n"/>
      <c r="G94" s="45">
        <f t="array" ref="G94">SUM(D94:F94)</f>
        <v/>
      </c>
      <c r="H94" s="121">
        <f t="array" ref="H94">VLOOKUP(A94,#REF!,5,0)</f>
        <v/>
      </c>
      <c r="I94" s="122" t="n">
        <v>0</v>
      </c>
      <c r="J94" s="123" t="n">
        <v>0</v>
      </c>
      <c r="K94" s="124" t="n">
        <v>0</v>
      </c>
      <c r="L94" s="123" t="n">
        <v>0</v>
      </c>
      <c r="M94" s="124" t="n">
        <v>0</v>
      </c>
      <c r="N94" s="124" t="n">
        <v>0</v>
      </c>
      <c r="O94" s="124" t="n">
        <v>0</v>
      </c>
      <c r="P94" s="124" t="n">
        <v>0</v>
      </c>
      <c r="Q94" s="124" t="n">
        <v>0</v>
      </c>
      <c r="R94" s="124" t="n">
        <v>0</v>
      </c>
      <c r="S94" s="124" t="n">
        <v>0</v>
      </c>
      <c r="T94" s="124" t="n">
        <v>0</v>
      </c>
      <c r="U94" s="124" t="n"/>
      <c r="V94" s="124" t="n"/>
      <c r="W94" s="125">
        <f t="array" ref="W94">SUM(I94:V94)</f>
        <v/>
      </c>
      <c r="X94" s="126" t="n">
        <v>0</v>
      </c>
      <c r="Y94" s="125">
        <f t="array" ref="Y94">W94+X94</f>
        <v/>
      </c>
      <c r="Z94" s="125">
        <f t="array" ref="Z94">G94-Y94</f>
        <v/>
      </c>
      <c r="AA94" s="121">
        <f t="array" ref="AA94">ROUND(W94*H94,2)</f>
        <v/>
      </c>
      <c r="AB94" s="127">
        <f t="array" ref="AB94">ROUND(X94*H94,2)</f>
        <v/>
      </c>
      <c r="AC94" s="121">
        <f t="array" ref="AC94">ROUND(AA94+AB94,2)</f>
        <v/>
      </c>
      <c r="AD94" s="127">
        <f t="array" ref="AD94">ROUND((G94*H94)-AC94,2)</f>
        <v/>
      </c>
      <c r="AE94" s="54">
        <f t="array" ref="AE94">_xlfn.IFERROR(ROUND(AC94/(G94*H94),2),0)</f>
        <v/>
      </c>
      <c r="AF94" s="7" t="n"/>
      <c r="AG94" s="7" t="n"/>
      <c r="AH94" s="7" t="n"/>
      <c r="AI94" s="7" t="n"/>
      <c r="AJ94" s="7" t="n"/>
      <c r="AK94" s="7" t="n"/>
      <c r="AL94" s="7" t="n"/>
    </row>
    <row r="95" ht="66.59999999999999" customHeight="1" s="104">
      <c r="A95" s="44" t="inlineStr">
        <is>
          <t>2.78</t>
        </is>
      </c>
      <c r="B95" s="44" t="inlineStr">
        <is>
          <t>REMOÇÃO DE RELÉ</t>
        </is>
      </c>
      <c r="C95" s="44" t="inlineStr">
        <is>
          <t>UN</t>
        </is>
      </c>
      <c r="D95" s="45" t="n">
        <v>2634</v>
      </c>
      <c r="E95" s="45" t="n"/>
      <c r="F95" s="45" t="n"/>
      <c r="G95" s="45">
        <f t="array" ref="G95">SUM(D95:F95)</f>
        <v/>
      </c>
      <c r="H95" s="121">
        <f t="array" ref="H95">VLOOKUP(A95,#REF!,5,0)</f>
        <v/>
      </c>
      <c r="I95" s="122" t="n">
        <v>0</v>
      </c>
      <c r="J95" s="123" t="n">
        <v>558</v>
      </c>
      <c r="K95" s="124" t="n">
        <v>331</v>
      </c>
      <c r="L95" s="123" t="n">
        <v>305</v>
      </c>
      <c r="M95" s="124" t="n">
        <v>393</v>
      </c>
      <c r="N95" s="124" t="n">
        <v>280</v>
      </c>
      <c r="O95" s="124" t="n">
        <v>79</v>
      </c>
      <c r="P95" s="124" t="n">
        <v>124</v>
      </c>
      <c r="Q95" s="124" t="n">
        <v>317</v>
      </c>
      <c r="R95" s="124" t="n">
        <v>247</v>
      </c>
      <c r="S95" s="124" t="n">
        <v>0</v>
      </c>
      <c r="T95" s="124" t="n">
        <v>0</v>
      </c>
      <c r="U95" s="124" t="n"/>
      <c r="V95" s="124" t="n"/>
      <c r="W95" s="125">
        <f t="array" ref="W95">SUM(I95:V95)</f>
        <v/>
      </c>
      <c r="X95" s="126" t="n">
        <v>0</v>
      </c>
      <c r="Y95" s="125">
        <f t="array" ref="Y95">W95+X95</f>
        <v/>
      </c>
      <c r="Z95" s="125">
        <f t="array" ref="Z95">G95-Y95</f>
        <v/>
      </c>
      <c r="AA95" s="121">
        <f t="array" ref="AA95">ROUND(W95*H95,2)</f>
        <v/>
      </c>
      <c r="AB95" s="127">
        <f t="array" ref="AB95">ROUND(X95*H95,2)</f>
        <v/>
      </c>
      <c r="AC95" s="121">
        <f t="array" ref="AC95">ROUND(AA95+AB95,2)</f>
        <v/>
      </c>
      <c r="AD95" s="127">
        <f t="array" ref="AD95">ROUND((G95*H95)-AC95,2)</f>
        <v/>
      </c>
      <c r="AE95" s="54">
        <f t="array" ref="AE95">_xlfn.IFERROR(ROUND(AC95/(G95*H95),2),0)</f>
        <v/>
      </c>
      <c r="AF95" s="7" t="n"/>
      <c r="AG95" s="7" t="n"/>
      <c r="AH95" s="7" t="n"/>
      <c r="AI95" s="7" t="n"/>
      <c r="AJ95" s="7" t="n"/>
      <c r="AK95" s="7" t="n"/>
      <c r="AL95" s="7" t="n"/>
    </row>
    <row r="96" ht="66.59999999999999" customHeight="1" s="104">
      <c r="A96" s="44" t="inlineStr">
        <is>
          <t>2.79</t>
        </is>
      </c>
      <c r="B96" s="44" t="inlineStr">
        <is>
          <t>REMOÇÃO E RECOMPOSIÇÃO DE PISO ASFÁLTICO</t>
        </is>
      </c>
      <c r="C96" s="44" t="inlineStr">
        <is>
          <t>M2</t>
        </is>
      </c>
      <c r="D96" s="45" t="n">
        <v>5</v>
      </c>
      <c r="E96" s="45" t="n"/>
      <c r="F96" s="45" t="n"/>
      <c r="G96" s="45">
        <f t="array" ref="G96">SUM(D96:F96)</f>
        <v/>
      </c>
      <c r="H96" s="121">
        <f t="array" ref="H96">VLOOKUP(A96,#REF!,5,0)</f>
        <v/>
      </c>
      <c r="I96" s="122" t="n">
        <v>0</v>
      </c>
      <c r="J96" s="123" t="n">
        <v>0</v>
      </c>
      <c r="K96" s="124" t="n">
        <v>0</v>
      </c>
      <c r="L96" s="123" t="n">
        <v>0</v>
      </c>
      <c r="M96" s="124" t="n">
        <v>0</v>
      </c>
      <c r="N96" s="124" t="n">
        <v>4</v>
      </c>
      <c r="O96" s="124" t="n">
        <v>0</v>
      </c>
      <c r="P96" s="124" t="n">
        <v>0</v>
      </c>
      <c r="Q96" s="124" t="n">
        <v>0</v>
      </c>
      <c r="R96" s="124" t="n">
        <v>0</v>
      </c>
      <c r="S96" s="124" t="n">
        <v>0</v>
      </c>
      <c r="T96" s="124" t="n">
        <v>0</v>
      </c>
      <c r="U96" s="124" t="n"/>
      <c r="V96" s="124" t="n"/>
      <c r="W96" s="125">
        <f t="array" ref="W96">SUM(I96:V96)</f>
        <v/>
      </c>
      <c r="X96" s="126" t="n">
        <v>0</v>
      </c>
      <c r="Y96" s="125">
        <f t="array" ref="Y96">W96+X96</f>
        <v/>
      </c>
      <c r="Z96" s="125">
        <f t="array" ref="Z96">G96-Y96</f>
        <v/>
      </c>
      <c r="AA96" s="121">
        <f t="array" ref="AA96">ROUND(W96*H96,2)</f>
        <v/>
      </c>
      <c r="AB96" s="127">
        <f t="array" ref="AB96">ROUND(X96*H96,2)</f>
        <v/>
      </c>
      <c r="AC96" s="121">
        <f t="array" ref="AC96">ROUND(AA96+AB96,2)</f>
        <v/>
      </c>
      <c r="AD96" s="127">
        <f t="array" ref="AD96">ROUND((G96*H96)-AC96,2)</f>
        <v/>
      </c>
      <c r="AE96" s="54">
        <f t="array" ref="AE96">_xlfn.IFERROR(ROUND(AC96/(G96*H96),2),0)</f>
        <v/>
      </c>
      <c r="AF96" s="7" t="n"/>
      <c r="AG96" s="7" t="n"/>
      <c r="AH96" s="7" t="n"/>
      <c r="AI96" s="7" t="n"/>
      <c r="AJ96" s="7" t="n"/>
      <c r="AK96" s="7" t="n"/>
      <c r="AL96" s="7" t="n"/>
    </row>
    <row r="97" ht="66.59999999999999" customHeight="1" s="104">
      <c r="A97" s="44" t="inlineStr">
        <is>
          <t>2.80</t>
        </is>
      </c>
      <c r="B97" s="44" t="inlineStr">
        <is>
          <t>REMOÇÃO E RECOMPOSIÇÃO DE PISO NÃO ASFÁLTICO</t>
        </is>
      </c>
      <c r="C97" s="44" t="inlineStr">
        <is>
          <t>M2</t>
        </is>
      </c>
      <c r="D97" s="45" t="n">
        <v>25</v>
      </c>
      <c r="E97" s="45" t="n"/>
      <c r="F97" s="45" t="n"/>
      <c r="G97" s="45">
        <f t="array" ref="G97">SUM(D97:F97)</f>
        <v/>
      </c>
      <c r="H97" s="121">
        <f t="array" ref="H97">VLOOKUP(A97,#REF!,5,0)</f>
        <v/>
      </c>
      <c r="I97" s="122" t="n">
        <v>0</v>
      </c>
      <c r="J97" s="123" t="n">
        <v>0</v>
      </c>
      <c r="K97" s="124" t="n">
        <v>0</v>
      </c>
      <c r="L97" s="123" t="n">
        <v>0</v>
      </c>
      <c r="M97" s="124" t="n">
        <v>0</v>
      </c>
      <c r="N97" s="124" t="n">
        <v>0</v>
      </c>
      <c r="O97" s="124" t="n">
        <v>18</v>
      </c>
      <c r="P97" s="124" t="n">
        <v>0</v>
      </c>
      <c r="Q97" s="124" t="n">
        <v>0</v>
      </c>
      <c r="R97" s="124" t="n">
        <v>0</v>
      </c>
      <c r="S97" s="124" t="n">
        <v>0</v>
      </c>
      <c r="T97" s="124" t="n">
        <v>0</v>
      </c>
      <c r="U97" s="124" t="n"/>
      <c r="V97" s="124" t="n"/>
      <c r="W97" s="125">
        <f t="array" ref="W97">SUM(I97:V97)</f>
        <v/>
      </c>
      <c r="X97" s="126" t="n">
        <v>0</v>
      </c>
      <c r="Y97" s="125">
        <f t="array" ref="Y97">W97+X97</f>
        <v/>
      </c>
      <c r="Z97" s="125">
        <f t="array" ref="Z97">G97-Y97</f>
        <v/>
      </c>
      <c r="AA97" s="121">
        <f t="array" ref="AA97">ROUND(W97*H97,2)</f>
        <v/>
      </c>
      <c r="AB97" s="127">
        <f t="array" ref="AB97">ROUND(X97*H97,2)</f>
        <v/>
      </c>
      <c r="AC97" s="121">
        <f t="array" ref="AC97">ROUND(AA97+AB97,2)</f>
        <v/>
      </c>
      <c r="AD97" s="127">
        <f t="array" ref="AD97">ROUND((G97*H97)-AC97,2)</f>
        <v/>
      </c>
      <c r="AE97" s="54">
        <f t="array" ref="AE97">_xlfn.IFERROR(ROUND(AC97/(G97*H97),2),0)</f>
        <v/>
      </c>
      <c r="AF97" s="7" t="n"/>
      <c r="AG97" s="7" t="n"/>
      <c r="AH97" s="7" t="n"/>
      <c r="AI97" s="7" t="n"/>
      <c r="AJ97" s="7" t="n"/>
      <c r="AK97" s="7" t="n"/>
      <c r="AL97" s="7" t="n"/>
    </row>
    <row r="98" ht="66.59999999999999" customHeight="1" s="104">
      <c r="A98" s="44" t="inlineStr">
        <is>
          <t>2.81</t>
        </is>
      </c>
      <c r="B98" s="44" t="inlineStr">
        <is>
          <t>RETIRADA DE ESTRUTURA DE MÉDIA TENSÃO (15KV)</t>
        </is>
      </c>
      <c r="C98" s="44" t="inlineStr">
        <is>
          <t>M</t>
        </is>
      </c>
      <c r="D98" s="45" t="n">
        <v>2</v>
      </c>
      <c r="E98" s="45" t="n"/>
      <c r="F98" s="45" t="n"/>
      <c r="G98" s="45">
        <f t="array" ref="G98">SUM(D98:F98)</f>
        <v/>
      </c>
      <c r="H98" s="121">
        <f t="array" ref="H98">VLOOKUP(A98,#REF!,5,0)</f>
        <v/>
      </c>
      <c r="I98" s="122" t="n">
        <v>0</v>
      </c>
      <c r="J98" s="123" t="n">
        <v>0</v>
      </c>
      <c r="K98" s="124" t="n">
        <v>0</v>
      </c>
      <c r="L98" s="123" t="n">
        <v>0</v>
      </c>
      <c r="M98" s="124" t="n">
        <v>0</v>
      </c>
      <c r="N98" s="124" t="n">
        <v>0</v>
      </c>
      <c r="O98" s="124" t="n">
        <v>0</v>
      </c>
      <c r="P98" s="124" t="n">
        <v>0</v>
      </c>
      <c r="Q98" s="124" t="n">
        <v>0</v>
      </c>
      <c r="R98" s="124" t="n">
        <v>0</v>
      </c>
      <c r="S98" s="124" t="n">
        <v>0</v>
      </c>
      <c r="T98" s="124" t="n">
        <v>0</v>
      </c>
      <c r="U98" s="124" t="n"/>
      <c r="V98" s="124" t="n"/>
      <c r="W98" s="125">
        <f t="array" ref="W98">SUM(I98:V98)</f>
        <v/>
      </c>
      <c r="X98" s="126" t="n">
        <v>0</v>
      </c>
      <c r="Y98" s="125">
        <f t="array" ref="Y98">W98+X98</f>
        <v/>
      </c>
      <c r="Z98" s="125">
        <f t="array" ref="Z98">G98-Y98</f>
        <v/>
      </c>
      <c r="AA98" s="121">
        <f t="array" ref="AA98">ROUND(W98*H98,2)</f>
        <v/>
      </c>
      <c r="AB98" s="127">
        <f t="array" ref="AB98">ROUND(X98*H98,2)</f>
        <v/>
      </c>
      <c r="AC98" s="121">
        <f t="array" ref="AC98">ROUND(AA98+AB98,2)</f>
        <v/>
      </c>
      <c r="AD98" s="127">
        <f t="array" ref="AD98">ROUND((G98*H98)-AC98,2)</f>
        <v/>
      </c>
      <c r="AE98" s="54">
        <f t="array" ref="AE98">_xlfn.IFERROR(ROUND(AC98/(G98*H98),2),0)</f>
        <v/>
      </c>
      <c r="AF98" s="7" t="n"/>
      <c r="AG98" s="7" t="n"/>
      <c r="AH98" s="7" t="n"/>
      <c r="AI98" s="7" t="n"/>
      <c r="AJ98" s="7" t="n"/>
      <c r="AK98" s="7" t="n"/>
      <c r="AL98" s="7" t="n"/>
    </row>
    <row r="99" ht="133.2" customHeight="1" s="104">
      <c r="A99" s="44" t="inlineStr">
        <is>
          <t>2.82</t>
        </is>
      </c>
      <c r="B99" s="44" t="inlineStr">
        <is>
          <t>SUBSTITUIÇÃO DE REATOR E LÂMPADA EM LUMINÁRIA INSTALADA EM ALTURA ATÉ 10 METROS</t>
        </is>
      </c>
      <c r="C99" s="44" t="inlineStr">
        <is>
          <t>CJ</t>
        </is>
      </c>
      <c r="D99" s="45" t="n">
        <v>100</v>
      </c>
      <c r="E99" s="45" t="n"/>
      <c r="F99" s="45" t="n"/>
      <c r="G99" s="45">
        <f t="array" ref="G99">SUM(D99:F99)</f>
        <v/>
      </c>
      <c r="H99" s="121">
        <f t="array" ref="H99">VLOOKUP(A99,#REF!,5,0)</f>
        <v/>
      </c>
      <c r="I99" s="122" t="n">
        <v>0</v>
      </c>
      <c r="J99" s="123" t="n">
        <v>0</v>
      </c>
      <c r="K99" s="124" t="n">
        <v>0</v>
      </c>
      <c r="L99" s="123" t="n">
        <v>0</v>
      </c>
      <c r="M99" s="124" t="n">
        <v>0</v>
      </c>
      <c r="N99" s="124" t="n">
        <v>0</v>
      </c>
      <c r="O99" s="124" t="n">
        <v>0</v>
      </c>
      <c r="P99" s="124" t="n">
        <v>0</v>
      </c>
      <c r="Q99" s="124" t="n">
        <v>0</v>
      </c>
      <c r="R99" s="124" t="n">
        <v>0</v>
      </c>
      <c r="S99" s="124" t="n">
        <v>0</v>
      </c>
      <c r="T99" s="124" t="n">
        <v>0</v>
      </c>
      <c r="U99" s="124" t="n"/>
      <c r="V99" s="124" t="n"/>
      <c r="W99" s="125">
        <f t="array" ref="W99">SUM(I99:V99)</f>
        <v/>
      </c>
      <c r="X99" s="126" t="n">
        <v>0</v>
      </c>
      <c r="Y99" s="125">
        <f t="array" ref="Y99">W99+X99</f>
        <v/>
      </c>
      <c r="Z99" s="125">
        <f t="array" ref="Z99">G99-Y99</f>
        <v/>
      </c>
      <c r="AA99" s="121">
        <f t="array" ref="AA99">ROUND(W99*H99,2)</f>
        <v/>
      </c>
      <c r="AB99" s="127">
        <f t="array" ref="AB99">ROUND(X99*H99,2)</f>
        <v/>
      </c>
      <c r="AC99" s="121">
        <f t="array" ref="AC99">ROUND(AA99+AB99,2)</f>
        <v/>
      </c>
      <c r="AD99" s="127">
        <f t="array" ref="AD99">ROUND((G99*H99)-AC99,2)</f>
        <v/>
      </c>
      <c r="AE99" s="54">
        <f t="array" ref="AE99">_xlfn.IFERROR(ROUND(AC99/(G99*H99),2),0)</f>
        <v/>
      </c>
      <c r="AF99" s="7" t="n"/>
      <c r="AG99" s="7" t="n"/>
      <c r="AH99" s="7" t="n"/>
      <c r="AI99" s="7" t="n"/>
      <c r="AJ99" s="7" t="n"/>
      <c r="AK99" s="7" t="n"/>
      <c r="AL99" s="7" t="n"/>
    </row>
    <row r="100" ht="133.2" customHeight="1" s="104">
      <c r="A100" s="44" t="inlineStr">
        <is>
          <t>2.83</t>
        </is>
      </c>
      <c r="B100" s="44" t="inlineStr">
        <is>
          <t>SUBSTITUIÇÃO DE REATOR E LÂMPADA EM LUMINÁRIA INSTALADA EM ALTURA ENTRE 10 E 15 METROS</t>
        </is>
      </c>
      <c r="C100" s="44" t="inlineStr">
        <is>
          <t>CJ</t>
        </is>
      </c>
      <c r="D100" s="45" t="n">
        <v>25</v>
      </c>
      <c r="E100" s="45" t="n"/>
      <c r="F100" s="45" t="n"/>
      <c r="G100" s="45">
        <f t="array" ref="G100">SUM(D100:F100)</f>
        <v/>
      </c>
      <c r="H100" s="121">
        <f t="array" ref="H100">VLOOKUP(A100,#REF!,5,0)</f>
        <v/>
      </c>
      <c r="I100" s="122" t="n">
        <v>0</v>
      </c>
      <c r="J100" s="123" t="n">
        <v>0</v>
      </c>
      <c r="K100" s="124" t="n">
        <v>0</v>
      </c>
      <c r="L100" s="123" t="n">
        <v>0</v>
      </c>
      <c r="M100" s="124" t="n">
        <v>0</v>
      </c>
      <c r="N100" s="124" t="n">
        <v>0</v>
      </c>
      <c r="O100" s="124" t="n">
        <v>0</v>
      </c>
      <c r="P100" s="124" t="n">
        <v>0</v>
      </c>
      <c r="Q100" s="124" t="n">
        <v>0</v>
      </c>
      <c r="R100" s="124" t="n">
        <v>0</v>
      </c>
      <c r="S100" s="124" t="n">
        <v>0</v>
      </c>
      <c r="T100" s="124" t="n">
        <v>0</v>
      </c>
      <c r="U100" s="124" t="n"/>
      <c r="V100" s="124" t="n"/>
      <c r="W100" s="125">
        <f t="array" ref="W100">SUM(I100:V100)</f>
        <v/>
      </c>
      <c r="X100" s="126" t="n">
        <v>0</v>
      </c>
      <c r="Y100" s="125">
        <f t="array" ref="Y100">W100+X100</f>
        <v/>
      </c>
      <c r="Z100" s="125">
        <f t="array" ref="Z100">G100-Y100</f>
        <v/>
      </c>
      <c r="AA100" s="121">
        <f t="array" ref="AA100">ROUND(W100*H100,2)</f>
        <v/>
      </c>
      <c r="AB100" s="127">
        <f t="array" ref="AB100">ROUND(X100*H100,2)</f>
        <v/>
      </c>
      <c r="AC100" s="121">
        <f t="array" ref="AC100">ROUND(AA100+AB100,2)</f>
        <v/>
      </c>
      <c r="AD100" s="127">
        <f t="array" ref="AD100">ROUND((G100*H100)-AC100,2)</f>
        <v/>
      </c>
      <c r="AE100" s="54">
        <f t="array" ref="AE100">_xlfn.IFERROR(ROUND(AC100/(G100*H100),2),0)</f>
        <v/>
      </c>
      <c r="AF100" s="7" t="n"/>
      <c r="AG100" s="7" t="n"/>
      <c r="AH100" s="7" t="n"/>
      <c r="AI100" s="7" t="n"/>
      <c r="AJ100" s="7" t="n"/>
      <c r="AK100" s="7" t="n"/>
      <c r="AL100" s="7" t="n"/>
    </row>
    <row r="101" ht="133.2" customHeight="1" s="104">
      <c r="A101" s="44" t="inlineStr">
        <is>
          <t>2.84</t>
        </is>
      </c>
      <c r="B101" s="44" t="inlineStr">
        <is>
          <t>SUBSTITUIÇÃO DE REATOR E LÂMPADA EM LUMINÁRIA INSTALADA EM ALTURA SUPERIOR A 15 METROS</t>
        </is>
      </c>
      <c r="C101" s="44" t="inlineStr">
        <is>
          <t>CJ</t>
        </is>
      </c>
      <c r="D101" s="45" t="n">
        <v>15</v>
      </c>
      <c r="E101" s="45" t="n"/>
      <c r="F101" s="45" t="n"/>
      <c r="G101" s="45">
        <f t="array" ref="G101">SUM(D101:F101)</f>
        <v/>
      </c>
      <c r="H101" s="121">
        <f t="array" ref="H101">VLOOKUP(A101,#REF!,5,0)</f>
        <v/>
      </c>
      <c r="I101" s="122" t="n">
        <v>0</v>
      </c>
      <c r="J101" s="123" t="n">
        <v>0</v>
      </c>
      <c r="K101" s="124" t="n">
        <v>0</v>
      </c>
      <c r="L101" s="123" t="n">
        <v>0</v>
      </c>
      <c r="M101" s="124" t="n">
        <v>0</v>
      </c>
      <c r="N101" s="124" t="n">
        <v>0</v>
      </c>
      <c r="O101" s="124" t="n">
        <v>0</v>
      </c>
      <c r="P101" s="124" t="n">
        <v>0</v>
      </c>
      <c r="Q101" s="124" t="n">
        <v>0</v>
      </c>
      <c r="R101" s="124" t="n">
        <v>0</v>
      </c>
      <c r="S101" s="124" t="n">
        <v>0</v>
      </c>
      <c r="T101" s="124" t="n">
        <v>0</v>
      </c>
      <c r="U101" s="124" t="n"/>
      <c r="V101" s="124" t="n"/>
      <c r="W101" s="125">
        <f t="array" ref="W101">SUM(I101:V101)</f>
        <v/>
      </c>
      <c r="X101" s="126" t="n">
        <v>0</v>
      </c>
      <c r="Y101" s="125">
        <f t="array" ref="Y101">W101+X101</f>
        <v/>
      </c>
      <c r="Z101" s="125">
        <f t="array" ref="Z101">G101-Y101</f>
        <v/>
      </c>
      <c r="AA101" s="121">
        <f t="array" ref="AA101">ROUND(W101*H101,2)</f>
        <v/>
      </c>
      <c r="AB101" s="127">
        <f t="array" ref="AB101">ROUND(X101*H101,2)</f>
        <v/>
      </c>
      <c r="AC101" s="121">
        <f t="array" ref="AC101">ROUND(AA101+AB101,2)</f>
        <v/>
      </c>
      <c r="AD101" s="127">
        <f t="array" ref="AD101">ROUND((G101*H101)-AC101,2)</f>
        <v/>
      </c>
      <c r="AE101" s="54">
        <f t="array" ref="AE101">_xlfn.IFERROR(ROUND(AC101/(G101*H101),2),0)</f>
        <v/>
      </c>
      <c r="AF101" s="7" t="n"/>
      <c r="AG101" s="7" t="n"/>
      <c r="AH101" s="7" t="n"/>
      <c r="AI101" s="7" t="n"/>
      <c r="AJ101" s="7" t="n"/>
      <c r="AK101" s="7" t="n"/>
      <c r="AL101" s="7" t="n"/>
    </row>
    <row r="102" ht="133.2" customHeight="1" s="104">
      <c r="A102" s="44" t="inlineStr">
        <is>
          <t>2.85</t>
        </is>
      </c>
      <c r="B102" s="44" t="inlineStr">
        <is>
          <t>TRAVESSIA SUBTERRÂNEA - PERFURAÇÃO POR MÉTODO NÃO DESTRUTIVO</t>
        </is>
      </c>
      <c r="C102" s="44" t="inlineStr">
        <is>
          <t>M</t>
        </is>
      </c>
      <c r="D102" s="45" t="n">
        <v>100</v>
      </c>
      <c r="E102" s="45" t="n"/>
      <c r="F102" s="45" t="n"/>
      <c r="G102" s="45">
        <f t="array" ref="G102">SUM(D102:F102)</f>
        <v/>
      </c>
      <c r="H102" s="121">
        <f t="array" ref="H102">VLOOKUP(A102,#REF!,5,0)</f>
        <v/>
      </c>
      <c r="I102" s="122" t="n">
        <v>0</v>
      </c>
      <c r="J102" s="123" t="n">
        <v>8</v>
      </c>
      <c r="K102" s="124" t="n">
        <v>18</v>
      </c>
      <c r="L102" s="123" t="n">
        <v>5</v>
      </c>
      <c r="M102" s="124" t="n">
        <v>14</v>
      </c>
      <c r="N102" s="124" t="n">
        <v>7</v>
      </c>
      <c r="O102" s="124" t="n">
        <v>13</v>
      </c>
      <c r="P102" s="124" t="n">
        <v>0</v>
      </c>
      <c r="Q102" s="124" t="n">
        <v>5</v>
      </c>
      <c r="R102" s="124" t="n">
        <v>0</v>
      </c>
      <c r="S102" s="124" t="n">
        <v>8</v>
      </c>
      <c r="T102" s="124" t="n">
        <v>4</v>
      </c>
      <c r="U102" s="124" t="n"/>
      <c r="V102" s="124" t="n"/>
      <c r="W102" s="125">
        <f t="array" ref="W102">SUM(I102:V102)</f>
        <v/>
      </c>
      <c r="X102" s="126" t="n">
        <v>0</v>
      </c>
      <c r="Y102" s="125">
        <f t="array" ref="Y102">W102+X102</f>
        <v/>
      </c>
      <c r="Z102" s="125">
        <f t="array" ref="Z102">G102-Y102</f>
        <v/>
      </c>
      <c r="AA102" s="121">
        <f t="array" ref="AA102">ROUND(W102*H102,2)</f>
        <v/>
      </c>
      <c r="AB102" s="127">
        <f t="array" ref="AB102">ROUND(X102*H102,2)</f>
        <v/>
      </c>
      <c r="AC102" s="121">
        <f t="array" ref="AC102">ROUND(AA102+AB102,2)</f>
        <v/>
      </c>
      <c r="AD102" s="127">
        <f t="array" ref="AD102">ROUND((G102*H102)-AC102,2)</f>
        <v/>
      </c>
      <c r="AE102" s="54">
        <f t="array" ref="AE102">_xlfn.IFERROR(ROUND(AC102/(G102*H102),2),0)</f>
        <v/>
      </c>
      <c r="AF102" s="7" t="n"/>
      <c r="AG102" s="7" t="n"/>
      <c r="AH102" s="7" t="n"/>
      <c r="AI102" s="7" t="n"/>
      <c r="AJ102" s="7" t="n"/>
      <c r="AK102" s="7" t="n"/>
      <c r="AL102" s="7" t="n"/>
    </row>
    <row r="103" ht="66.59999999999999" customHeight="1" s="104">
      <c r="A103" s="65" t="inlineStr">
        <is>
          <t>3.0</t>
        </is>
      </c>
      <c r="B103" s="65" t="inlineStr">
        <is>
          <t>MATERIAIS</t>
        </is>
      </c>
      <c r="C103" s="66" t="n"/>
      <c r="D103" s="66" t="n"/>
      <c r="E103" s="66" t="n"/>
      <c r="F103" s="66" t="n"/>
      <c r="G103" s="66" t="n"/>
      <c r="H103" s="66" t="n"/>
      <c r="I103" s="66" t="n"/>
      <c r="J103" s="66" t="n"/>
      <c r="K103" s="66" t="n"/>
      <c r="L103" s="66" t="n"/>
      <c r="M103" s="66" t="n"/>
      <c r="N103" s="66" t="n"/>
      <c r="O103" s="66" t="n"/>
      <c r="P103" s="66" t="n"/>
      <c r="Q103" s="66" t="n"/>
      <c r="R103" s="66" t="n"/>
      <c r="S103" s="66" t="n"/>
      <c r="T103" s="66" t="n"/>
      <c r="U103" s="66" t="n"/>
      <c r="V103" s="66" t="n"/>
      <c r="W103" s="66" t="n"/>
      <c r="X103" s="66" t="n"/>
      <c r="Y103" s="66" t="n"/>
      <c r="Z103" s="66" t="n"/>
      <c r="AA103" s="66" t="n"/>
      <c r="AB103" s="66" t="n"/>
      <c r="AC103" s="66" t="n"/>
      <c r="AD103" s="66" t="n"/>
      <c r="AE103" s="67" t="n"/>
      <c r="AF103" s="36" t="n"/>
      <c r="AG103" s="7" t="n"/>
      <c r="AH103" s="7" t="n"/>
      <c r="AI103" s="7" t="n"/>
      <c r="AJ103" s="7" t="n"/>
      <c r="AK103" s="7" t="n"/>
      <c r="AL103" s="7" t="n"/>
    </row>
    <row r="104" ht="133.2" customHeight="1" s="104">
      <c r="A104" s="44" t="inlineStr">
        <is>
          <t>3.1</t>
        </is>
      </c>
      <c r="B104" s="44" t="inlineStr">
        <is>
          <t>ABRAÇADEIRA PARA AMARRAÇÃO, EM AÇO INOXIDÁVEL, AUTOTRAVANTE, 266X4,6MM</t>
        </is>
      </c>
      <c r="C104" s="44" t="inlineStr">
        <is>
          <t>PÇ</t>
        </is>
      </c>
      <c r="D104" s="45" t="n">
        <v>200</v>
      </c>
      <c r="E104" s="45" t="n"/>
      <c r="F104" s="45" t="n"/>
      <c r="G104" s="45">
        <f t="array" ref="G104">SUM(D104:F104)</f>
        <v/>
      </c>
      <c r="H104" s="121">
        <f t="array" ref="H104">VLOOKUP(A104,#REF!,5,0)</f>
        <v/>
      </c>
      <c r="I104" s="122" t="n">
        <v>0</v>
      </c>
      <c r="J104" s="123" t="n">
        <v>0</v>
      </c>
      <c r="K104" s="124" t="n">
        <v>0</v>
      </c>
      <c r="L104" s="123" t="n">
        <v>4</v>
      </c>
      <c r="M104" s="124" t="n">
        <v>0</v>
      </c>
      <c r="N104" s="124" t="n">
        <v>0</v>
      </c>
      <c r="O104" s="124" t="n">
        <v>0</v>
      </c>
      <c r="P104" s="124" t="n">
        <v>0</v>
      </c>
      <c r="Q104" s="124" t="n">
        <v>0</v>
      </c>
      <c r="R104" s="124" t="n">
        <v>0</v>
      </c>
      <c r="S104" s="124" t="n">
        <v>0</v>
      </c>
      <c r="T104" s="124" t="n">
        <v>0</v>
      </c>
      <c r="U104" s="124" t="n"/>
      <c r="V104" s="124" t="n"/>
      <c r="W104" s="125">
        <f t="array" ref="W104">SUM(I104:V104)</f>
        <v/>
      </c>
      <c r="X104" s="126" t="n">
        <v>0</v>
      </c>
      <c r="Y104" s="125">
        <f t="array" ref="Y104">W104+X104</f>
        <v/>
      </c>
      <c r="Z104" s="125">
        <f t="array" ref="Z104">G104-Y104</f>
        <v/>
      </c>
      <c r="AA104" s="121">
        <f t="array" ref="AA104">ROUND(W104*H104,2)</f>
        <v/>
      </c>
      <c r="AB104" s="127">
        <f t="array" ref="AB104">ROUND(X104*H104,2)</f>
        <v/>
      </c>
      <c r="AC104" s="121">
        <f t="array" ref="AC104">ROUND(AA104+AB104,2)</f>
        <v/>
      </c>
      <c r="AD104" s="127">
        <f t="array" ref="AD104">ROUND((G104*H104)-AC104,2)</f>
        <v/>
      </c>
      <c r="AE104" s="54">
        <f t="array" ref="AE104">_xlfn.IFERROR(ROUND(AC104/(G104*H104),2),0)</f>
        <v/>
      </c>
      <c r="AF104" s="7" t="n"/>
      <c r="AG104" s="7" t="n"/>
      <c r="AH104" s="7" t="n"/>
      <c r="AI104" s="7" t="n"/>
      <c r="AJ104" s="7" t="n"/>
      <c r="AK104" s="7" t="n"/>
      <c r="AL104" s="7" t="n"/>
    </row>
    <row r="105" ht="133.2" customHeight="1" s="104">
      <c r="A105" s="44" t="inlineStr">
        <is>
          <t>3.2</t>
        </is>
      </c>
      <c r="B105" s="44" t="inlineStr">
        <is>
          <t>ABRAÇADEIRA TIPO CUNHA EM AÇO GALVANIZADO A FOGO, CÔNICA, DIÂMETRO 1"</t>
        </is>
      </c>
      <c r="C105" s="44" t="inlineStr">
        <is>
          <t>PÇ</t>
        </is>
      </c>
      <c r="D105" s="45" t="n">
        <v>17</v>
      </c>
      <c r="E105" s="45" t="n"/>
      <c r="F105" s="45" t="n"/>
      <c r="G105" s="45">
        <f t="array" ref="G105">SUM(D105:F105)</f>
        <v/>
      </c>
      <c r="H105" s="121">
        <f t="array" ref="H105">VLOOKUP(A105,#REF!,5,0)</f>
        <v/>
      </c>
      <c r="I105" s="122" t="n">
        <v>0</v>
      </c>
      <c r="J105" s="123" t="n">
        <v>0</v>
      </c>
      <c r="K105" s="124" t="n">
        <v>0</v>
      </c>
      <c r="L105" s="123" t="n">
        <v>0</v>
      </c>
      <c r="M105" s="124" t="n">
        <v>0</v>
      </c>
      <c r="N105" s="124" t="n">
        <v>0</v>
      </c>
      <c r="O105" s="124" t="n">
        <v>0</v>
      </c>
      <c r="P105" s="124" t="n">
        <v>0</v>
      </c>
      <c r="Q105" s="124" t="n">
        <v>0</v>
      </c>
      <c r="R105" s="124" t="n">
        <v>0</v>
      </c>
      <c r="S105" s="124" t="n">
        <v>0</v>
      </c>
      <c r="T105" s="124" t="n">
        <v>0</v>
      </c>
      <c r="U105" s="124" t="n"/>
      <c r="V105" s="124" t="n"/>
      <c r="W105" s="125">
        <f t="array" ref="W105">SUM(I105:V105)</f>
        <v/>
      </c>
      <c r="X105" s="126" t="n">
        <v>0</v>
      </c>
      <c r="Y105" s="125">
        <f t="array" ref="Y105">W105+X105</f>
        <v/>
      </c>
      <c r="Z105" s="125">
        <f t="array" ref="Z105">G105-Y105</f>
        <v/>
      </c>
      <c r="AA105" s="121">
        <f t="array" ref="AA105">ROUND(W105*H105,2)</f>
        <v/>
      </c>
      <c r="AB105" s="127">
        <f t="array" ref="AB105">ROUND(X105*H105,2)</f>
        <v/>
      </c>
      <c r="AC105" s="121">
        <f t="array" ref="AC105">ROUND(AA105+AB105,2)</f>
        <v/>
      </c>
      <c r="AD105" s="127">
        <f t="array" ref="AD105">ROUND((G105*H105)-AC105,2)</f>
        <v/>
      </c>
      <c r="AE105" s="54">
        <f t="array" ref="AE105">_xlfn.IFERROR(ROUND(AC105/(G105*H105),2),0)</f>
        <v/>
      </c>
      <c r="AF105" s="7" t="n"/>
      <c r="AG105" s="7" t="n"/>
      <c r="AH105" s="7" t="n"/>
      <c r="AI105" s="7" t="n"/>
      <c r="AJ105" s="7" t="n"/>
      <c r="AK105" s="7" t="n"/>
      <c r="AL105" s="7" t="n"/>
    </row>
    <row r="106" ht="133.2" customHeight="1" s="104">
      <c r="A106" s="44" t="inlineStr">
        <is>
          <t>3.3</t>
        </is>
      </c>
      <c r="B106" s="44" t="inlineStr">
        <is>
          <t>ABRAÇADEIRA TIPO CUNHA EM AÇO GALVANIZADO A FOGO, CÔNICA, DIÂMETRO 1.1/2</t>
        </is>
      </c>
      <c r="C106" s="44" t="inlineStr">
        <is>
          <t>PÇ</t>
        </is>
      </c>
      <c r="D106" s="45" t="n">
        <v>30</v>
      </c>
      <c r="E106" s="45" t="n"/>
      <c r="F106" s="45" t="n"/>
      <c r="G106" s="45">
        <f t="array" ref="G106">SUM(D106:F106)</f>
        <v/>
      </c>
      <c r="H106" s="121">
        <f t="array" ref="H106">VLOOKUP(A106,#REF!,5,0)</f>
        <v/>
      </c>
      <c r="I106" s="122" t="n">
        <v>0</v>
      </c>
      <c r="J106" s="123" t="n">
        <v>0</v>
      </c>
      <c r="K106" s="124" t="n">
        <v>0</v>
      </c>
      <c r="L106" s="123" t="n">
        <v>0</v>
      </c>
      <c r="M106" s="124" t="n">
        <v>0</v>
      </c>
      <c r="N106" s="124" t="n">
        <v>0</v>
      </c>
      <c r="O106" s="124" t="n">
        <v>0</v>
      </c>
      <c r="P106" s="124" t="n">
        <v>0</v>
      </c>
      <c r="Q106" s="124" t="n">
        <v>0</v>
      </c>
      <c r="R106" s="124" t="n">
        <v>0</v>
      </c>
      <c r="S106" s="124" t="n">
        <v>0</v>
      </c>
      <c r="T106" s="124" t="n">
        <v>2</v>
      </c>
      <c r="U106" s="124" t="n"/>
      <c r="V106" s="124" t="n"/>
      <c r="W106" s="125">
        <f t="array" ref="W106">SUM(I106:V106)</f>
        <v/>
      </c>
      <c r="X106" s="126" t="n">
        <v>0</v>
      </c>
      <c r="Y106" s="125">
        <f t="array" ref="Y106">W106+X106</f>
        <v/>
      </c>
      <c r="Z106" s="125">
        <f t="array" ref="Z106">G106-Y106</f>
        <v/>
      </c>
      <c r="AA106" s="121">
        <f t="array" ref="AA106">ROUND(W106*H106,2)</f>
        <v/>
      </c>
      <c r="AB106" s="127">
        <f t="array" ref="AB106">ROUND(X106*H106,2)</f>
        <v/>
      </c>
      <c r="AC106" s="121">
        <f t="array" ref="AC106">ROUND(AA106+AB106,2)</f>
        <v/>
      </c>
      <c r="AD106" s="127">
        <f t="array" ref="AD106">ROUND((G106*H106)-AC106,2)</f>
        <v/>
      </c>
      <c r="AE106" s="54">
        <f t="array" ref="AE106">_xlfn.IFERROR(ROUND(AC106/(G106*H106),2),0)</f>
        <v/>
      </c>
      <c r="AF106" s="7" t="n"/>
      <c r="AG106" s="7" t="n"/>
      <c r="AH106" s="7" t="n"/>
      <c r="AI106" s="7" t="n"/>
      <c r="AJ106" s="7" t="n"/>
      <c r="AK106" s="7" t="n"/>
      <c r="AL106" s="7" t="n"/>
    </row>
    <row r="107" ht="133.2" customHeight="1" s="104">
      <c r="A107" s="44" t="inlineStr">
        <is>
          <t>3.4</t>
        </is>
      </c>
      <c r="B107" s="44" t="inlineStr">
        <is>
          <t>ABRAÇADEIRA TIPO CUNHA EM AÇO GALVANIZADO A FOGO, CÔNICA, DIÂMETRO 2"</t>
        </is>
      </c>
      <c r="C107" s="44" t="inlineStr">
        <is>
          <t>PÇ</t>
        </is>
      </c>
      <c r="D107" s="45" t="n">
        <v>1</v>
      </c>
      <c r="E107" s="45" t="n"/>
      <c r="F107" s="45" t="n"/>
      <c r="G107" s="45">
        <f t="array" ref="G107">SUM(D107:F107)</f>
        <v/>
      </c>
      <c r="H107" s="121">
        <f t="array" ref="H107">VLOOKUP(A107,#REF!,5,0)</f>
        <v/>
      </c>
      <c r="I107" s="122" t="n">
        <v>0</v>
      </c>
      <c r="J107" s="123" t="n">
        <v>0</v>
      </c>
      <c r="K107" s="124" t="n">
        <v>0</v>
      </c>
      <c r="L107" s="123" t="n">
        <v>0</v>
      </c>
      <c r="M107" s="124" t="n">
        <v>0</v>
      </c>
      <c r="N107" s="124" t="n">
        <v>0</v>
      </c>
      <c r="O107" s="124" t="n">
        <v>0</v>
      </c>
      <c r="P107" s="124" t="n">
        <v>0</v>
      </c>
      <c r="Q107" s="124" t="n">
        <v>0</v>
      </c>
      <c r="R107" s="124" t="n">
        <v>0</v>
      </c>
      <c r="S107" s="124" t="n">
        <v>0</v>
      </c>
      <c r="T107" s="124" t="n">
        <v>0</v>
      </c>
      <c r="U107" s="124" t="n"/>
      <c r="V107" s="124" t="n"/>
      <c r="W107" s="125">
        <f t="array" ref="W107">SUM(I107:V107)</f>
        <v/>
      </c>
      <c r="X107" s="126" t="n">
        <v>0</v>
      </c>
      <c r="Y107" s="125">
        <f t="array" ref="Y107">W107+X107</f>
        <v/>
      </c>
      <c r="Z107" s="125">
        <f t="array" ref="Z107">G107-Y107</f>
        <v/>
      </c>
      <c r="AA107" s="121">
        <f t="array" ref="AA107">ROUND(W107*H107,2)</f>
        <v/>
      </c>
      <c r="AB107" s="127">
        <f t="array" ref="AB107">ROUND(X107*H107,2)</f>
        <v/>
      </c>
      <c r="AC107" s="121">
        <f t="array" ref="AC107">ROUND(AA107+AB107,2)</f>
        <v/>
      </c>
      <c r="AD107" s="127">
        <f t="array" ref="AD107">ROUND((G107*H107)-AC107,2)</f>
        <v/>
      </c>
      <c r="AE107" s="54">
        <f t="array" ref="AE107">_xlfn.IFERROR(ROUND(AC107/(G107*H107),2),0)</f>
        <v/>
      </c>
      <c r="AF107" s="7" t="n"/>
      <c r="AG107" s="7" t="n"/>
      <c r="AH107" s="7" t="n"/>
      <c r="AI107" s="7" t="n"/>
      <c r="AJ107" s="7" t="n"/>
      <c r="AK107" s="7" t="n"/>
      <c r="AL107" s="7" t="n"/>
    </row>
    <row r="108" ht="133.2" customHeight="1" s="104">
      <c r="A108" s="44" t="inlineStr">
        <is>
          <t>3.5</t>
        </is>
      </c>
      <c r="B108" s="44" t="inlineStr">
        <is>
          <t>ABRAÇADEIRA TIPO CUNHA EM AÇO GALVANIZADO A FOGO, CÔNICA, DIÂMETRO 3/4"</t>
        </is>
      </c>
      <c r="C108" s="44" t="inlineStr">
        <is>
          <t>PÇ</t>
        </is>
      </c>
      <c r="D108" s="45" t="n">
        <v>2</v>
      </c>
      <c r="E108" s="45" t="n"/>
      <c r="F108" s="45" t="n"/>
      <c r="G108" s="45">
        <f t="array" ref="G108">SUM(D108:F108)</f>
        <v/>
      </c>
      <c r="H108" s="121">
        <f t="array" ref="H108">VLOOKUP(A108,#REF!,5,0)</f>
        <v/>
      </c>
      <c r="I108" s="122" t="n">
        <v>0</v>
      </c>
      <c r="J108" s="123" t="n">
        <v>0</v>
      </c>
      <c r="K108" s="124" t="n">
        <v>0</v>
      </c>
      <c r="L108" s="123" t="n">
        <v>0</v>
      </c>
      <c r="M108" s="124" t="n">
        <v>0</v>
      </c>
      <c r="N108" s="124" t="n">
        <v>0</v>
      </c>
      <c r="O108" s="124" t="n">
        <v>0</v>
      </c>
      <c r="P108" s="124" t="n">
        <v>0</v>
      </c>
      <c r="Q108" s="124" t="n">
        <v>0</v>
      </c>
      <c r="R108" s="124" t="n">
        <v>0</v>
      </c>
      <c r="S108" s="124" t="n">
        <v>0</v>
      </c>
      <c r="T108" s="124" t="n">
        <v>0</v>
      </c>
      <c r="U108" s="124" t="n"/>
      <c r="V108" s="124" t="n"/>
      <c r="W108" s="125">
        <f t="array" ref="W108">SUM(I108:V108)</f>
        <v/>
      </c>
      <c r="X108" s="126" t="n">
        <v>0</v>
      </c>
      <c r="Y108" s="125">
        <f t="array" ref="Y108">W108+X108</f>
        <v/>
      </c>
      <c r="Z108" s="125">
        <f t="array" ref="Z108">G108-Y108</f>
        <v/>
      </c>
      <c r="AA108" s="121">
        <f t="array" ref="AA108">ROUND(W108*H108,2)</f>
        <v/>
      </c>
      <c r="AB108" s="127">
        <f t="array" ref="AB108">ROUND(X108*H108,2)</f>
        <v/>
      </c>
      <c r="AC108" s="121">
        <f t="array" ref="AC108">ROUND(AA108+AB108,2)</f>
        <v/>
      </c>
      <c r="AD108" s="127">
        <f t="array" ref="AD108">ROUND((G108*H108)-AC108,2)</f>
        <v/>
      </c>
      <c r="AE108" s="54">
        <f t="array" ref="AE108">_xlfn.IFERROR(ROUND(AC108/(G108*H108),2),0)</f>
        <v/>
      </c>
      <c r="AF108" s="7" t="n"/>
      <c r="AG108" s="7" t="n"/>
      <c r="AH108" s="7" t="n"/>
      <c r="AI108" s="7" t="n"/>
      <c r="AJ108" s="7" t="n"/>
      <c r="AK108" s="7" t="n"/>
      <c r="AL108" s="7" t="n"/>
    </row>
    <row r="109" ht="133.2" customHeight="1" s="104">
      <c r="A109" s="44" t="inlineStr">
        <is>
          <t>3.6</t>
        </is>
      </c>
      <c r="B109" s="44" t="inlineStr">
        <is>
          <t>ALÇA PRÉ-FORMADA DE DISTRIBUIÇÃO PARA CABO DE ALUMÍNIO 2 AWG</t>
        </is>
      </c>
      <c r="C109" s="44" t="inlineStr">
        <is>
          <t>PÇ</t>
        </is>
      </c>
      <c r="D109" s="45" t="n">
        <v>250</v>
      </c>
      <c r="E109" s="45" t="n"/>
      <c r="F109" s="45" t="n"/>
      <c r="G109" s="45">
        <f t="array" ref="G109">SUM(D109:F109)</f>
        <v/>
      </c>
      <c r="H109" s="121">
        <f t="array" ref="H109">VLOOKUP(A109,#REF!,5,0)</f>
        <v/>
      </c>
      <c r="I109" s="122" t="n">
        <v>3</v>
      </c>
      <c r="J109" s="123" t="n">
        <v>101</v>
      </c>
      <c r="K109" s="124" t="n">
        <v>71</v>
      </c>
      <c r="L109" s="123" t="n">
        <v>2</v>
      </c>
      <c r="M109" s="124" t="n">
        <v>49</v>
      </c>
      <c r="N109" s="124" t="n">
        <v>24</v>
      </c>
      <c r="O109" s="124" t="n">
        <v>0</v>
      </c>
      <c r="P109" s="124" t="n">
        <v>0</v>
      </c>
      <c r="Q109" s="124" t="n">
        <v>0</v>
      </c>
      <c r="R109" s="124" t="n">
        <v>0</v>
      </c>
      <c r="S109" s="124" t="n">
        <v>0</v>
      </c>
      <c r="T109" s="124" t="n">
        <v>0</v>
      </c>
      <c r="U109" s="124" t="n"/>
      <c r="V109" s="124" t="n"/>
      <c r="W109" s="125">
        <f t="array" ref="W109">SUM(I109:V109)</f>
        <v/>
      </c>
      <c r="X109" s="126" t="n">
        <v>0</v>
      </c>
      <c r="Y109" s="125">
        <f t="array" ref="Y109">W109+X109</f>
        <v/>
      </c>
      <c r="Z109" s="125">
        <f t="array" ref="Z109">G109-Y109</f>
        <v/>
      </c>
      <c r="AA109" s="121">
        <f t="array" ref="AA109">ROUND(W109*H109,2)</f>
        <v/>
      </c>
      <c r="AB109" s="127">
        <f t="array" ref="AB109">ROUND(X109*H109,2)</f>
        <v/>
      </c>
      <c r="AC109" s="121">
        <f t="array" ref="AC109">ROUND(AA109+AB109,2)</f>
        <v/>
      </c>
      <c r="AD109" s="127">
        <f t="array" ref="AD109">ROUND((G109*H109)-AC109,2)</f>
        <v/>
      </c>
      <c r="AE109" s="54">
        <f t="array" ref="AE109">_xlfn.IFERROR(ROUND(AC109/(G109*H109),2),0)</f>
        <v/>
      </c>
      <c r="AF109" s="7" t="n"/>
      <c r="AG109" s="7" t="n"/>
      <c r="AH109" s="7" t="n"/>
      <c r="AI109" s="7" t="n"/>
      <c r="AJ109" s="7" t="n"/>
      <c r="AK109" s="7" t="n"/>
      <c r="AL109" s="7" t="n"/>
    </row>
    <row r="110" ht="133.2" customHeight="1" s="104">
      <c r="A110" s="44" t="inlineStr">
        <is>
          <t>3.7</t>
        </is>
      </c>
      <c r="B110" s="44" t="inlineStr">
        <is>
          <t>ALÇA PRÉ-FORMADA DE DISTRIBUIÇÃO PARA CABO DE ALUMÍNIO 4 AWG</t>
        </is>
      </c>
      <c r="C110" s="44" t="inlineStr">
        <is>
          <t>PÇ</t>
        </is>
      </c>
      <c r="D110" s="45" t="n">
        <v>250</v>
      </c>
      <c r="E110" s="45" t="n"/>
      <c r="F110" s="45" t="n"/>
      <c r="G110" s="45">
        <f t="array" ref="G110">SUM(D110:F110)</f>
        <v/>
      </c>
      <c r="H110" s="121">
        <f t="array" ref="H110">VLOOKUP(A110,#REF!,5,0)</f>
        <v/>
      </c>
      <c r="I110" s="122" t="n">
        <v>0</v>
      </c>
      <c r="J110" s="123" t="n">
        <v>70</v>
      </c>
      <c r="K110" s="124" t="n">
        <v>0</v>
      </c>
      <c r="L110" s="123" t="n">
        <v>57</v>
      </c>
      <c r="M110" s="124" t="n">
        <v>13</v>
      </c>
      <c r="N110" s="124" t="n">
        <v>0</v>
      </c>
      <c r="O110" s="124" t="n">
        <v>0</v>
      </c>
      <c r="P110" s="124" t="n">
        <v>0</v>
      </c>
      <c r="Q110" s="124" t="n">
        <v>110</v>
      </c>
      <c r="R110" s="124" t="n">
        <v>0</v>
      </c>
      <c r="S110" s="124" t="n">
        <v>0</v>
      </c>
      <c r="T110" s="124" t="n">
        <v>0</v>
      </c>
      <c r="U110" s="124" t="n"/>
      <c r="V110" s="124" t="n"/>
      <c r="W110" s="125">
        <f t="array" ref="W110">SUM(I110:V110)</f>
        <v/>
      </c>
      <c r="X110" s="126" t="n">
        <v>0</v>
      </c>
      <c r="Y110" s="125">
        <f t="array" ref="Y110">W110+X110</f>
        <v/>
      </c>
      <c r="Z110" s="125">
        <f t="array" ref="Z110">G110-Y110</f>
        <v/>
      </c>
      <c r="AA110" s="121">
        <f t="array" ref="AA110">ROUND(W110*H110,2)</f>
        <v/>
      </c>
      <c r="AB110" s="127">
        <f t="array" ref="AB110">ROUND(X110*H110,2)</f>
        <v/>
      </c>
      <c r="AC110" s="121">
        <f t="array" ref="AC110">ROUND(AA110+AB110,2)</f>
        <v/>
      </c>
      <c r="AD110" s="127">
        <f t="array" ref="AD110">ROUND((G110*H110)-AC110,2)</f>
        <v/>
      </c>
      <c r="AE110" s="54">
        <f t="array" ref="AE110">_xlfn.IFERROR(ROUND(AC110/(G110*H110),2),0)</f>
        <v/>
      </c>
      <c r="AF110" s="7" t="n"/>
      <c r="AG110" s="7" t="n"/>
      <c r="AH110" s="7" t="n"/>
      <c r="AI110" s="7" t="n"/>
      <c r="AJ110" s="7" t="n"/>
      <c r="AK110" s="7" t="n"/>
      <c r="AL110" s="7" t="n"/>
    </row>
    <row r="111" ht="133.2" customHeight="1" s="104">
      <c r="A111" s="44" t="inlineStr">
        <is>
          <t>3.8</t>
        </is>
      </c>
      <c r="B111" s="44" t="inlineStr">
        <is>
          <t>ARMAÇÃO SECUNDÁRIA DE 1 ESTRIBO, DIMENSÕES 110X125X5MM</t>
        </is>
      </c>
      <c r="C111" s="44" t="inlineStr">
        <is>
          <t>PÇ</t>
        </is>
      </c>
      <c r="D111" s="45" t="n">
        <v>12</v>
      </c>
      <c r="E111" s="45" t="n"/>
      <c r="F111" s="45" t="n"/>
      <c r="G111" s="45">
        <f t="array" ref="G111">SUM(D111:F111)</f>
        <v/>
      </c>
      <c r="H111" s="121">
        <f t="array" ref="H111">VLOOKUP(A111,#REF!,5,0)</f>
        <v/>
      </c>
      <c r="I111" s="122" t="n">
        <v>2</v>
      </c>
      <c r="J111" s="123" t="n">
        <v>6</v>
      </c>
      <c r="K111" s="124" t="n">
        <v>4</v>
      </c>
      <c r="L111" s="123" t="n">
        <v>0</v>
      </c>
      <c r="M111" s="124" t="n">
        <v>0</v>
      </c>
      <c r="N111" s="124" t="n">
        <v>0</v>
      </c>
      <c r="O111" s="124" t="n">
        <v>0</v>
      </c>
      <c r="P111" s="124" t="n">
        <v>0</v>
      </c>
      <c r="Q111" s="124" t="n">
        <v>0</v>
      </c>
      <c r="R111" s="124" t="n">
        <v>0</v>
      </c>
      <c r="S111" s="124" t="n">
        <v>0</v>
      </c>
      <c r="T111" s="124" t="n">
        <v>0</v>
      </c>
      <c r="U111" s="124" t="n"/>
      <c r="V111" s="124" t="n"/>
      <c r="W111" s="125">
        <f t="array" ref="W111">SUM(I111:V111)</f>
        <v/>
      </c>
      <c r="X111" s="126" t="n">
        <v>0</v>
      </c>
      <c r="Y111" s="125">
        <f t="array" ref="Y111">W111+X111</f>
        <v/>
      </c>
      <c r="Z111" s="125">
        <f t="array" ref="Z111">G111-Y111</f>
        <v/>
      </c>
      <c r="AA111" s="121">
        <f t="array" ref="AA111">ROUND(W111*H111,2)</f>
        <v/>
      </c>
      <c r="AB111" s="127">
        <f t="array" ref="AB111">ROUND(X111*H111,2)</f>
        <v/>
      </c>
      <c r="AC111" s="121">
        <f t="array" ref="AC111">ROUND(AA111+AB111,2)</f>
        <v/>
      </c>
      <c r="AD111" s="127">
        <f t="array" ref="AD111">ROUND((G111*H111)-AC111,2)</f>
        <v/>
      </c>
      <c r="AE111" s="54">
        <f t="array" ref="AE111">_xlfn.IFERROR(ROUND(AC111/(G111*H111),2),0)</f>
        <v/>
      </c>
      <c r="AF111" s="7" t="n"/>
      <c r="AG111" s="7" t="n"/>
      <c r="AH111" s="7" t="n"/>
      <c r="AI111" s="7" t="n"/>
      <c r="AJ111" s="7" t="n"/>
      <c r="AK111" s="7" t="n"/>
      <c r="AL111" s="7" t="n"/>
    </row>
    <row r="112" ht="66.59999999999999" customHeight="1" s="104">
      <c r="A112" s="44" t="inlineStr">
        <is>
          <t>3.9</t>
        </is>
      </c>
      <c r="B112" s="44" t="inlineStr">
        <is>
          <t>ARRUELA DE ALUMÍNIO PARA ELETRODUTO  Ø 1 1/2"</t>
        </is>
      </c>
      <c r="C112" s="44" t="inlineStr">
        <is>
          <t>PÇ</t>
        </is>
      </c>
      <c r="D112" s="45" t="n">
        <v>25</v>
      </c>
      <c r="E112" s="45" t="n"/>
      <c r="F112" s="45" t="n"/>
      <c r="G112" s="45">
        <f t="array" ref="G112">SUM(D112:F112)</f>
        <v/>
      </c>
      <c r="H112" s="121">
        <f t="array" ref="H112">VLOOKUP(A112,#REF!,5,0)</f>
        <v/>
      </c>
      <c r="I112" s="122" t="n">
        <v>0</v>
      </c>
      <c r="J112" s="123" t="n">
        <v>1</v>
      </c>
      <c r="K112" s="124" t="n">
        <v>0</v>
      </c>
      <c r="L112" s="123" t="n">
        <v>0</v>
      </c>
      <c r="M112" s="124" t="n">
        <v>5</v>
      </c>
      <c r="N112" s="124" t="n">
        <v>0</v>
      </c>
      <c r="O112" s="124" t="n">
        <v>1</v>
      </c>
      <c r="P112" s="124" t="n">
        <v>1</v>
      </c>
      <c r="Q112" s="124" t="n">
        <v>2</v>
      </c>
      <c r="R112" s="124" t="n">
        <v>0</v>
      </c>
      <c r="S112" s="124" t="n">
        <v>0</v>
      </c>
      <c r="T112" s="124" t="n">
        <v>0</v>
      </c>
      <c r="U112" s="124" t="n"/>
      <c r="V112" s="124" t="n"/>
      <c r="W112" s="125">
        <f t="array" ref="W112">SUM(I112:V112)</f>
        <v/>
      </c>
      <c r="X112" s="126" t="n">
        <v>0</v>
      </c>
      <c r="Y112" s="125">
        <f t="array" ref="Y112">W112+X112</f>
        <v/>
      </c>
      <c r="Z112" s="125">
        <f t="array" ref="Z112">G112-Y112</f>
        <v/>
      </c>
      <c r="AA112" s="121">
        <f t="array" ref="AA112">ROUND(W112*H112,2)</f>
        <v/>
      </c>
      <c r="AB112" s="127">
        <f t="array" ref="AB112">ROUND(X112*H112,2)</f>
        <v/>
      </c>
      <c r="AC112" s="121">
        <f t="array" ref="AC112">ROUND(AA112+AB112,2)</f>
        <v/>
      </c>
      <c r="AD112" s="127">
        <f t="array" ref="AD112">ROUND((G112*H112)-AC112,2)</f>
        <v/>
      </c>
      <c r="AE112" s="54">
        <f t="array" ref="AE112">_xlfn.IFERROR(ROUND(AC112/(G112*H112),2),0)</f>
        <v/>
      </c>
      <c r="AF112" s="7" t="n"/>
      <c r="AG112" s="7" t="n"/>
      <c r="AH112" s="7" t="n"/>
      <c r="AI112" s="7" t="n"/>
      <c r="AJ112" s="7" t="n"/>
      <c r="AK112" s="7" t="n"/>
      <c r="AL112" s="7" t="n"/>
    </row>
    <row r="113" ht="66.59999999999999" customHeight="1" s="104">
      <c r="A113" s="44" t="inlineStr">
        <is>
          <t>3.10</t>
        </is>
      </c>
      <c r="B113" s="44" t="inlineStr">
        <is>
          <t>ARRUELA QUADRADA 38X3MM, PARA PARAFUSO D16MM</t>
        </is>
      </c>
      <c r="C113" s="44" t="inlineStr">
        <is>
          <t>PÇ</t>
        </is>
      </c>
      <c r="D113" s="45" t="n">
        <v>250</v>
      </c>
      <c r="E113" s="45" t="n"/>
      <c r="F113" s="45" t="n"/>
      <c r="G113" s="45">
        <f t="array" ref="G113">SUM(D113:F113)</f>
        <v/>
      </c>
      <c r="H113" s="121">
        <f t="array" ref="H113">VLOOKUP(A113,#REF!,5,0)</f>
        <v/>
      </c>
      <c r="I113" s="122" t="n">
        <v>0</v>
      </c>
      <c r="J113" s="123" t="n">
        <v>0</v>
      </c>
      <c r="K113" s="124" t="n">
        <v>112</v>
      </c>
      <c r="L113" s="123" t="n">
        <v>0</v>
      </c>
      <c r="M113" s="124" t="n">
        <v>0</v>
      </c>
      <c r="N113" s="124" t="n">
        <v>14</v>
      </c>
      <c r="O113" s="124" t="n">
        <v>0</v>
      </c>
      <c r="P113" s="124" t="n">
        <v>0</v>
      </c>
      <c r="Q113" s="124" t="n">
        <v>0</v>
      </c>
      <c r="R113" s="124" t="n">
        <v>0</v>
      </c>
      <c r="S113" s="124" t="n">
        <v>0</v>
      </c>
      <c r="T113" s="124" t="n">
        <v>0</v>
      </c>
      <c r="U113" s="124" t="n"/>
      <c r="V113" s="124" t="n"/>
      <c r="W113" s="125">
        <f t="array" ref="W113">SUM(I113:V113)</f>
        <v/>
      </c>
      <c r="X113" s="126" t="n">
        <v>0</v>
      </c>
      <c r="Y113" s="125">
        <f t="array" ref="Y113">W113+X113</f>
        <v/>
      </c>
      <c r="Z113" s="125">
        <f t="array" ref="Z113">G113-Y113</f>
        <v/>
      </c>
      <c r="AA113" s="121">
        <f t="array" ref="AA113">ROUND(W113*H113,2)</f>
        <v/>
      </c>
      <c r="AB113" s="127">
        <f t="array" ref="AB113">ROUND(X113*H113,2)</f>
        <v/>
      </c>
      <c r="AC113" s="121">
        <f t="array" ref="AC113">ROUND(AA113+AB113,2)</f>
        <v/>
      </c>
      <c r="AD113" s="127">
        <f t="array" ref="AD113">ROUND((G113*H113)-AC113,2)</f>
        <v/>
      </c>
      <c r="AE113" s="54">
        <f t="array" ref="AE113">_xlfn.IFERROR(ROUND(AC113/(G113*H113),2),0)</f>
        <v/>
      </c>
      <c r="AF113" s="7" t="n"/>
      <c r="AG113" s="7" t="n"/>
      <c r="AH113" s="7" t="n"/>
      <c r="AI113" s="7" t="n"/>
      <c r="AJ113" s="7" t="n"/>
      <c r="AK113" s="7" t="n"/>
      <c r="AL113" s="7" t="n"/>
    </row>
    <row r="114" ht="66.59999999999999" customHeight="1" s="104">
      <c r="A114" s="44" t="inlineStr">
        <is>
          <t>3.11</t>
        </is>
      </c>
      <c r="B114" s="44" t="inlineStr">
        <is>
          <t>BASE PARA RELÊ FOTOELÉTRICO, 10A</t>
        </is>
      </c>
      <c r="C114" s="44" t="inlineStr">
        <is>
          <t>PÇ</t>
        </is>
      </c>
      <c r="D114" s="45" t="n">
        <v>439</v>
      </c>
      <c r="E114" s="45" t="n"/>
      <c r="F114" s="45" t="n"/>
      <c r="G114" s="45">
        <f t="array" ref="G114">SUM(D114:F114)</f>
        <v/>
      </c>
      <c r="H114" s="121">
        <f t="array" ref="H114">VLOOKUP(A114,#REF!,5,0)</f>
        <v/>
      </c>
      <c r="I114" s="122" t="n">
        <v>0</v>
      </c>
      <c r="J114" s="123" t="n">
        <v>35</v>
      </c>
      <c r="K114" s="124" t="n">
        <v>39</v>
      </c>
      <c r="L114" s="123" t="n">
        <v>52</v>
      </c>
      <c r="M114" s="124" t="n">
        <v>33</v>
      </c>
      <c r="N114" s="124" t="n">
        <v>21</v>
      </c>
      <c r="O114" s="124" t="n">
        <v>15</v>
      </c>
      <c r="P114" s="124" t="n">
        <v>27</v>
      </c>
      <c r="Q114" s="124" t="n">
        <v>38</v>
      </c>
      <c r="R114" s="124" t="n">
        <v>36</v>
      </c>
      <c r="S114" s="124" t="n">
        <v>22</v>
      </c>
      <c r="T114" s="124" t="n">
        <v>22</v>
      </c>
      <c r="U114" s="124" t="n"/>
      <c r="V114" s="124" t="n"/>
      <c r="W114" s="125">
        <f t="array" ref="W114">SUM(I114:V114)</f>
        <v/>
      </c>
      <c r="X114" s="126" t="n">
        <v>5</v>
      </c>
      <c r="Y114" s="125">
        <f t="array" ref="Y114">W114+X114</f>
        <v/>
      </c>
      <c r="Z114" s="125">
        <f t="array" ref="Z114">G114-Y114</f>
        <v/>
      </c>
      <c r="AA114" s="121">
        <f t="array" ref="AA114">ROUND(W114*H114,2)</f>
        <v/>
      </c>
      <c r="AB114" s="127">
        <f t="array" ref="AB114">ROUND(X114*H114,2)</f>
        <v/>
      </c>
      <c r="AC114" s="121">
        <f t="array" ref="AC114">ROUND(AA114+AB114,2)</f>
        <v/>
      </c>
      <c r="AD114" s="127">
        <f t="array" ref="AD114">ROUND((G114*H114)-AC114,2)</f>
        <v/>
      </c>
      <c r="AE114" s="54">
        <f t="array" ref="AE114">_xlfn.IFERROR(ROUND(AC114/(G114*H114),2),0)</f>
        <v/>
      </c>
      <c r="AF114" s="7" t="n"/>
      <c r="AG114" s="7" t="n"/>
      <c r="AH114" s="7" t="n"/>
      <c r="AI114" s="7" t="n"/>
      <c r="AJ114" s="7" t="n"/>
      <c r="AK114" s="7" t="n"/>
      <c r="AL114" s="7" t="n"/>
    </row>
    <row r="115" ht="66.59999999999999" customHeight="1" s="104">
      <c r="A115" s="44" t="inlineStr">
        <is>
          <t>3.12</t>
        </is>
      </c>
      <c r="B115" s="44" t="inlineStr">
        <is>
          <t>BOCAL DE PORCELANA, REFORÇADO, ROSCA E-27</t>
        </is>
      </c>
      <c r="C115" s="44" t="inlineStr">
        <is>
          <t>PÇ</t>
        </is>
      </c>
      <c r="D115" s="45" t="n">
        <v>25</v>
      </c>
      <c r="E115" s="45" t="n"/>
      <c r="F115" s="45" t="n"/>
      <c r="G115" s="45">
        <f t="array" ref="G115">SUM(D115:F115)</f>
        <v/>
      </c>
      <c r="H115" s="121">
        <f t="array" ref="H115">VLOOKUP(A115,#REF!,5,0)</f>
        <v/>
      </c>
      <c r="I115" s="122" t="n">
        <v>0</v>
      </c>
      <c r="J115" s="123" t="n">
        <v>24</v>
      </c>
      <c r="K115" s="124" t="n">
        <v>1</v>
      </c>
      <c r="L115" s="123" t="n">
        <v>0</v>
      </c>
      <c r="M115" s="124" t="n">
        <v>0</v>
      </c>
      <c r="N115" s="124" t="n">
        <v>0</v>
      </c>
      <c r="O115" s="124" t="n">
        <v>0</v>
      </c>
      <c r="P115" s="124" t="n">
        <v>0</v>
      </c>
      <c r="Q115" s="124" t="n">
        <v>0</v>
      </c>
      <c r="R115" s="124" t="n">
        <v>0</v>
      </c>
      <c r="S115" s="124" t="n">
        <v>0</v>
      </c>
      <c r="T115" s="124" t="n">
        <v>0</v>
      </c>
      <c r="U115" s="124" t="n"/>
      <c r="V115" s="124" t="n"/>
      <c r="W115" s="125">
        <f t="array" ref="W115">SUM(I115:V115)</f>
        <v/>
      </c>
      <c r="X115" s="126" t="n">
        <v>0</v>
      </c>
      <c r="Y115" s="125">
        <f t="array" ref="Y115">W115+X115</f>
        <v/>
      </c>
      <c r="Z115" s="125">
        <f t="array" ref="Z115">G115-Y115</f>
        <v/>
      </c>
      <c r="AA115" s="121">
        <f t="array" ref="AA115">ROUND(W115*H115,2)</f>
        <v/>
      </c>
      <c r="AB115" s="127">
        <f t="array" ref="AB115">ROUND(X115*H115,2)</f>
        <v/>
      </c>
      <c r="AC115" s="121">
        <f t="array" ref="AC115">ROUND(AA115+AB115,2)</f>
        <v/>
      </c>
      <c r="AD115" s="127">
        <f t="array" ref="AD115">ROUND((G115*H115)-AC115,2)</f>
        <v/>
      </c>
      <c r="AE115" s="54">
        <f t="array" ref="AE115">_xlfn.IFERROR(ROUND(AC115/(G115*H115),2),0)</f>
        <v/>
      </c>
      <c r="AF115" s="7" t="n"/>
      <c r="AG115" s="7" t="n"/>
      <c r="AH115" s="7" t="n"/>
      <c r="AI115" s="7" t="n"/>
      <c r="AJ115" s="7" t="n"/>
      <c r="AK115" s="7" t="n"/>
      <c r="AL115" s="7" t="n"/>
    </row>
    <row r="116" ht="66.59999999999999" customHeight="1" s="104">
      <c r="A116" s="44" t="inlineStr">
        <is>
          <t>3.13</t>
        </is>
      </c>
      <c r="B116" s="44" t="inlineStr">
        <is>
          <t>BOCAL DE PORCELANA, REFORÇADO, ROSCA E-40</t>
        </is>
      </c>
      <c r="C116" s="44" t="inlineStr">
        <is>
          <t>PÇ</t>
        </is>
      </c>
      <c r="D116" s="45" t="n">
        <v>25</v>
      </c>
      <c r="E116" s="45" t="n"/>
      <c r="F116" s="45" t="n"/>
      <c r="G116" s="45">
        <f t="array" ref="G116">SUM(D116:F116)</f>
        <v/>
      </c>
      <c r="H116" s="121">
        <f t="array" ref="H116">VLOOKUP(A116,#REF!,5,0)</f>
        <v/>
      </c>
      <c r="I116" s="122" t="n">
        <v>0</v>
      </c>
      <c r="J116" s="123" t="n">
        <v>0</v>
      </c>
      <c r="K116" s="124" t="n">
        <v>0</v>
      </c>
      <c r="L116" s="123" t="n">
        <v>0</v>
      </c>
      <c r="M116" s="124" t="n">
        <v>0</v>
      </c>
      <c r="N116" s="124" t="n">
        <v>0</v>
      </c>
      <c r="O116" s="124" t="n">
        <v>0</v>
      </c>
      <c r="P116" s="124" t="n">
        <v>0</v>
      </c>
      <c r="Q116" s="124" t="n">
        <v>0</v>
      </c>
      <c r="R116" s="124" t="n">
        <v>0</v>
      </c>
      <c r="S116" s="124" t="n">
        <v>0</v>
      </c>
      <c r="T116" s="124" t="n">
        <v>0</v>
      </c>
      <c r="U116" s="124" t="n"/>
      <c r="V116" s="124" t="n"/>
      <c r="W116" s="125">
        <f t="array" ref="W116">SUM(I116:V116)</f>
        <v/>
      </c>
      <c r="X116" s="126" t="n">
        <v>0</v>
      </c>
      <c r="Y116" s="125">
        <f t="array" ref="Y116">W116+X116</f>
        <v/>
      </c>
      <c r="Z116" s="125">
        <f t="array" ref="Z116">G116-Y116</f>
        <v/>
      </c>
      <c r="AA116" s="121">
        <f t="array" ref="AA116">ROUND(W116*H116,2)</f>
        <v/>
      </c>
      <c r="AB116" s="127">
        <f t="array" ref="AB116">ROUND(X116*H116,2)</f>
        <v/>
      </c>
      <c r="AC116" s="121">
        <f t="array" ref="AC116">ROUND(AA116+AB116,2)</f>
        <v/>
      </c>
      <c r="AD116" s="127">
        <f t="array" ref="AD116">ROUND((G116*H116)-AC116,2)</f>
        <v/>
      </c>
      <c r="AE116" s="54">
        <f t="array" ref="AE116">_xlfn.IFERROR(ROUND(AC116/(G116*H116),2),0)</f>
        <v/>
      </c>
      <c r="AF116" s="7" t="n"/>
      <c r="AG116" s="7" t="n"/>
      <c r="AH116" s="7" t="n"/>
      <c r="AI116" s="7" t="n"/>
      <c r="AJ116" s="7" t="n"/>
      <c r="AK116" s="7" t="n"/>
      <c r="AL116" s="7" t="n"/>
    </row>
    <row r="117" ht="66.59999999999999" customHeight="1" s="104">
      <c r="A117" s="44" t="inlineStr">
        <is>
          <t>3.14</t>
        </is>
      </c>
      <c r="B117" s="44" t="inlineStr">
        <is>
          <t>BRAÇO COMUM DE ILUMINAÇÃO PÚBLICA D25X2000MM</t>
        </is>
      </c>
      <c r="C117" s="44" t="inlineStr">
        <is>
          <t>PÇ</t>
        </is>
      </c>
      <c r="D117" s="45" t="n">
        <v>1098</v>
      </c>
      <c r="E117" s="45" t="n"/>
      <c r="F117" s="45" t="n"/>
      <c r="G117" s="45">
        <f t="array" ref="G117">SUM(D117:F117)</f>
        <v/>
      </c>
      <c r="H117" s="121">
        <f t="array" ref="H117">VLOOKUP(A117,#REF!,5,0)</f>
        <v/>
      </c>
      <c r="I117" s="122" t="n">
        <v>0</v>
      </c>
      <c r="J117" s="123" t="n">
        <v>91</v>
      </c>
      <c r="K117" s="124" t="n">
        <v>35</v>
      </c>
      <c r="L117" s="123" t="n">
        <v>42</v>
      </c>
      <c r="M117" s="124" t="n">
        <v>36</v>
      </c>
      <c r="N117" s="124" t="n">
        <v>20</v>
      </c>
      <c r="O117" s="124" t="n">
        <v>24</v>
      </c>
      <c r="P117" s="124" t="n">
        <v>20</v>
      </c>
      <c r="Q117" s="124" t="n">
        <v>62</v>
      </c>
      <c r="R117" s="124" t="n">
        <v>74</v>
      </c>
      <c r="S117" s="124" t="n">
        <v>22</v>
      </c>
      <c r="T117" s="124" t="n">
        <v>10</v>
      </c>
      <c r="U117" s="124" t="n"/>
      <c r="V117" s="124" t="n"/>
      <c r="W117" s="125">
        <f t="array" ref="W117">SUM(I117:V117)</f>
        <v/>
      </c>
      <c r="X117" s="126" t="n">
        <v>0</v>
      </c>
      <c r="Y117" s="125">
        <f t="array" ref="Y117">W117+X117</f>
        <v/>
      </c>
      <c r="Z117" s="125">
        <f t="array" ref="Z117">G117-Y117</f>
        <v/>
      </c>
      <c r="AA117" s="121">
        <f t="array" ref="AA117">ROUND(W117*H117,2)</f>
        <v/>
      </c>
      <c r="AB117" s="127">
        <f t="array" ref="AB117">ROUND(X117*H117,2)</f>
        <v/>
      </c>
      <c r="AC117" s="121">
        <f t="array" ref="AC117">ROUND(AA117+AB117,2)</f>
        <v/>
      </c>
      <c r="AD117" s="127">
        <f t="array" ref="AD117">ROUND((G117*H117)-AC117,2)</f>
        <v/>
      </c>
      <c r="AE117" s="54">
        <f t="array" ref="AE117">_xlfn.IFERROR(ROUND(AC117/(G117*H117),2),0)</f>
        <v/>
      </c>
      <c r="AF117" s="7" t="n"/>
      <c r="AG117" s="7" t="n"/>
      <c r="AH117" s="7" t="n"/>
      <c r="AI117" s="7" t="n"/>
      <c r="AJ117" s="7" t="n"/>
      <c r="AK117" s="7" t="n"/>
      <c r="AL117" s="7" t="n"/>
    </row>
    <row r="118" ht="66.59999999999999" customHeight="1" s="104">
      <c r="A118" s="44" t="inlineStr">
        <is>
          <t>3.15</t>
        </is>
      </c>
      <c r="B118" s="44" t="inlineStr">
        <is>
          <t>BRAÇO ESPECIAL DE ILUMINAÇÃO PÚBLICA D33X1500MM</t>
        </is>
      </c>
      <c r="C118" s="44" t="inlineStr">
        <is>
          <t>PÇ</t>
        </is>
      </c>
      <c r="D118" s="45" t="n">
        <v>659</v>
      </c>
      <c r="E118" s="45" t="n"/>
      <c r="F118" s="45" t="n"/>
      <c r="G118" s="45">
        <f t="array" ref="G118">SUM(D118:F118)</f>
        <v/>
      </c>
      <c r="H118" s="121">
        <f t="array" ref="H118">VLOOKUP(A118,#REF!,5,0)</f>
        <v/>
      </c>
      <c r="I118" s="122" t="n">
        <v>0</v>
      </c>
      <c r="J118" s="123" t="n">
        <v>23</v>
      </c>
      <c r="K118" s="124" t="n">
        <v>17</v>
      </c>
      <c r="L118" s="123" t="n">
        <v>15</v>
      </c>
      <c r="M118" s="124" t="n">
        <v>12</v>
      </c>
      <c r="N118" s="124" t="n">
        <v>26</v>
      </c>
      <c r="O118" s="124" t="n">
        <v>1</v>
      </c>
      <c r="P118" s="124" t="n">
        <v>8</v>
      </c>
      <c r="Q118" s="124" t="n">
        <v>23</v>
      </c>
      <c r="R118" s="124" t="n">
        <v>23</v>
      </c>
      <c r="S118" s="124" t="n">
        <v>11</v>
      </c>
      <c r="T118" s="124" t="n">
        <v>6</v>
      </c>
      <c r="U118" s="124" t="n"/>
      <c r="V118" s="124" t="n"/>
      <c r="W118" s="125">
        <f t="array" ref="W118">SUM(I118:V118)</f>
        <v/>
      </c>
      <c r="X118" s="126" t="n">
        <v>0</v>
      </c>
      <c r="Y118" s="125">
        <f t="array" ref="Y118">W118+X118</f>
        <v/>
      </c>
      <c r="Z118" s="125">
        <f t="array" ref="Z118">G118-Y118</f>
        <v/>
      </c>
      <c r="AA118" s="121">
        <f t="array" ref="AA118">ROUND(W118*H118,2)</f>
        <v/>
      </c>
      <c r="AB118" s="127">
        <f t="array" ref="AB118">ROUND(X118*H118,2)</f>
        <v/>
      </c>
      <c r="AC118" s="121">
        <f t="array" ref="AC118">ROUND(AA118+AB118,2)</f>
        <v/>
      </c>
      <c r="AD118" s="127">
        <f t="array" ref="AD118">ROUND((G118*H118)-AC118,2)</f>
        <v/>
      </c>
      <c r="AE118" s="54">
        <f t="array" ref="AE118">_xlfn.IFERROR(ROUND(AC118/(G118*H118),2),0)</f>
        <v/>
      </c>
      <c r="AF118" s="7" t="n"/>
      <c r="AG118" s="7" t="n"/>
      <c r="AH118" s="7" t="n"/>
      <c r="AI118" s="7" t="n"/>
      <c r="AJ118" s="7" t="n"/>
      <c r="AK118" s="7" t="n"/>
      <c r="AL118" s="7" t="n"/>
    </row>
    <row r="119" ht="66.59999999999999" customHeight="1" s="104">
      <c r="A119" s="44" t="inlineStr">
        <is>
          <t>3.16</t>
        </is>
      </c>
      <c r="B119" s="44" t="inlineStr">
        <is>
          <t>BRAÇO ESPECIAL DE ILUMINAÇÃO PÚBLICA D48X3000MM</t>
        </is>
      </c>
      <c r="C119" s="44" t="inlineStr">
        <is>
          <t>PÇ</t>
        </is>
      </c>
      <c r="D119" s="45" t="n">
        <v>100</v>
      </c>
      <c r="E119" s="45" t="n"/>
      <c r="F119" s="45" t="n"/>
      <c r="G119" s="45">
        <f t="array" ref="G119">SUM(D119:F119)</f>
        <v/>
      </c>
      <c r="H119" s="121">
        <f t="array" ref="H119">VLOOKUP(A119,#REF!,5,0)</f>
        <v/>
      </c>
      <c r="I119" s="122" t="n">
        <v>0</v>
      </c>
      <c r="J119" s="123" t="n">
        <v>0</v>
      </c>
      <c r="K119" s="124" t="n">
        <v>0</v>
      </c>
      <c r="L119" s="123" t="n">
        <v>0</v>
      </c>
      <c r="M119" s="124" t="n">
        <v>2</v>
      </c>
      <c r="N119" s="124" t="n">
        <v>2</v>
      </c>
      <c r="O119" s="124" t="n">
        <v>3</v>
      </c>
      <c r="P119" s="124" t="n">
        <v>1</v>
      </c>
      <c r="Q119" s="124" t="n">
        <v>1</v>
      </c>
      <c r="R119" s="124" t="n">
        <v>17</v>
      </c>
      <c r="S119" s="124" t="n">
        <v>0</v>
      </c>
      <c r="T119" s="124" t="n">
        <v>14</v>
      </c>
      <c r="U119" s="124" t="n"/>
      <c r="V119" s="124" t="n"/>
      <c r="W119" s="125">
        <f t="array" ref="W119">SUM(I119:V119)</f>
        <v/>
      </c>
      <c r="X119" s="126" t="n">
        <v>1</v>
      </c>
      <c r="Y119" s="125">
        <f t="array" ref="Y119">W119+X119</f>
        <v/>
      </c>
      <c r="Z119" s="125">
        <f t="array" ref="Z119">G119-Y119</f>
        <v/>
      </c>
      <c r="AA119" s="121">
        <f t="array" ref="AA119">ROUND(W119*H119,2)</f>
        <v/>
      </c>
      <c r="AB119" s="127">
        <f t="array" ref="AB119">ROUND(X119*H119,2)</f>
        <v/>
      </c>
      <c r="AC119" s="121">
        <f t="array" ref="AC119">ROUND(AA119+AB119,2)</f>
        <v/>
      </c>
      <c r="AD119" s="127">
        <f t="array" ref="AD119">ROUND((G119*H119)-AC119,2)</f>
        <v/>
      </c>
      <c r="AE119" s="54">
        <f t="array" ref="AE119">_xlfn.IFERROR(ROUND(AC119/(G119*H119),2),0)</f>
        <v/>
      </c>
      <c r="AF119" s="7" t="n"/>
      <c r="AG119" s="7" t="n"/>
      <c r="AH119" s="7" t="n"/>
      <c r="AI119" s="7" t="n"/>
      <c r="AJ119" s="7" t="n"/>
      <c r="AK119" s="7" t="n"/>
      <c r="AL119" s="7" t="n"/>
    </row>
    <row r="120" ht="133.2" customHeight="1" s="104">
      <c r="A120" s="44" t="inlineStr">
        <is>
          <t>3.17</t>
        </is>
      </c>
      <c r="B120" s="44" t="inlineStr">
        <is>
          <t>BUCHA DE NYLON S8, COM PARAFUSO DE AÇO  INOXIDÁVEL</t>
        </is>
      </c>
      <c r="C120" s="44" t="inlineStr">
        <is>
          <t>PÇ</t>
        </is>
      </c>
      <c r="D120" s="45" t="n">
        <v>250</v>
      </c>
      <c r="E120" s="45" t="n"/>
      <c r="F120" s="45" t="n"/>
      <c r="G120" s="45">
        <f t="array" ref="G120">SUM(D120:F120)</f>
        <v/>
      </c>
      <c r="H120" s="121">
        <f t="array" ref="H120">VLOOKUP(A120,#REF!,5,0)</f>
        <v/>
      </c>
      <c r="I120" s="122" t="n">
        <v>0</v>
      </c>
      <c r="J120" s="123" t="n">
        <v>0</v>
      </c>
      <c r="K120" s="124" t="n">
        <v>0</v>
      </c>
      <c r="L120" s="123" t="n">
        <v>0</v>
      </c>
      <c r="M120" s="124" t="n">
        <v>0</v>
      </c>
      <c r="N120" s="124" t="n">
        <v>0</v>
      </c>
      <c r="O120" s="124" t="n">
        <v>0</v>
      </c>
      <c r="P120" s="124" t="n">
        <v>0</v>
      </c>
      <c r="Q120" s="124" t="n">
        <v>4</v>
      </c>
      <c r="R120" s="124" t="n">
        <v>0</v>
      </c>
      <c r="S120" s="124" t="n">
        <v>0</v>
      </c>
      <c r="T120" s="124" t="n">
        <v>0</v>
      </c>
      <c r="U120" s="124" t="n"/>
      <c r="V120" s="124" t="n"/>
      <c r="W120" s="125">
        <f t="array" ref="W120">SUM(I120:V120)</f>
        <v/>
      </c>
      <c r="X120" s="126" t="n">
        <v>0</v>
      </c>
      <c r="Y120" s="125">
        <f t="array" ref="Y120">W120+X120</f>
        <v/>
      </c>
      <c r="Z120" s="125">
        <f t="array" ref="Z120">G120-Y120</f>
        <v/>
      </c>
      <c r="AA120" s="121">
        <f t="array" ref="AA120">ROUND(W120*H120,2)</f>
        <v/>
      </c>
      <c r="AB120" s="127">
        <f t="array" ref="AB120">ROUND(X120*H120,2)</f>
        <v/>
      </c>
      <c r="AC120" s="121">
        <f t="array" ref="AC120">ROUND(AA120+AB120,2)</f>
        <v/>
      </c>
      <c r="AD120" s="127">
        <f t="array" ref="AD120">ROUND((G120*H120)-AC120,2)</f>
        <v/>
      </c>
      <c r="AE120" s="54">
        <f t="array" ref="AE120">_xlfn.IFERROR(ROUND(AC120/(G120*H120),2),0)</f>
        <v/>
      </c>
      <c r="AF120" s="7" t="n"/>
      <c r="AG120" s="7" t="n"/>
      <c r="AH120" s="7" t="n"/>
      <c r="AI120" s="7" t="n"/>
      <c r="AJ120" s="7" t="n"/>
      <c r="AK120" s="7" t="n"/>
      <c r="AL120" s="7" t="n"/>
    </row>
    <row r="121" ht="66.59999999999999" customHeight="1" s="104">
      <c r="A121" s="44" t="inlineStr">
        <is>
          <t>3.18</t>
        </is>
      </c>
      <c r="B121" s="44" t="inlineStr">
        <is>
          <t>BUCHA DE ALUMÍNIO PARA ELETRODUTO Ø 1 1/2"</t>
        </is>
      </c>
      <c r="C121" s="44" t="inlineStr">
        <is>
          <t>CJ</t>
        </is>
      </c>
      <c r="D121" s="45" t="n">
        <v>2</v>
      </c>
      <c r="E121" s="45" t="n"/>
      <c r="F121" s="45" t="n"/>
      <c r="G121" s="45">
        <f t="array" ref="G121">SUM(D121:F121)</f>
        <v/>
      </c>
      <c r="H121" s="121">
        <f t="array" ref="H121">VLOOKUP(A121,#REF!,5,0)</f>
        <v/>
      </c>
      <c r="I121" s="122" t="n">
        <v>0</v>
      </c>
      <c r="J121" s="123" t="n">
        <v>0</v>
      </c>
      <c r="K121" s="124" t="n">
        <v>2</v>
      </c>
      <c r="L121" s="123" t="n">
        <v>0</v>
      </c>
      <c r="M121" s="124" t="n">
        <v>0</v>
      </c>
      <c r="N121" s="124" t="n">
        <v>0</v>
      </c>
      <c r="O121" s="124" t="n">
        <v>0</v>
      </c>
      <c r="P121" s="124" t="n">
        <v>0</v>
      </c>
      <c r="Q121" s="124" t="n">
        <v>0</v>
      </c>
      <c r="R121" s="124" t="n">
        <v>0</v>
      </c>
      <c r="S121" s="124" t="n">
        <v>0</v>
      </c>
      <c r="T121" s="124" t="n">
        <v>0</v>
      </c>
      <c r="U121" s="124" t="n"/>
      <c r="V121" s="124" t="n"/>
      <c r="W121" s="125">
        <f t="array" ref="W121">SUM(I121:V121)</f>
        <v/>
      </c>
      <c r="X121" s="126" t="n">
        <v>0</v>
      </c>
      <c r="Y121" s="125">
        <f t="array" ref="Y121">W121+X121</f>
        <v/>
      </c>
      <c r="Z121" s="125">
        <f t="array" ref="Z121">G121-Y121</f>
        <v/>
      </c>
      <c r="AA121" s="121">
        <f t="array" ref="AA121">ROUND(W121*H121,2)</f>
        <v/>
      </c>
      <c r="AB121" s="127">
        <f t="array" ref="AB121">ROUND(X121*H121,2)</f>
        <v/>
      </c>
      <c r="AC121" s="121">
        <f t="array" ref="AC121">ROUND(AA121+AB121,2)</f>
        <v/>
      </c>
      <c r="AD121" s="127">
        <f t="array" ref="AD121">ROUND((G121*H121)-AC121,2)</f>
        <v/>
      </c>
      <c r="AE121" s="54">
        <f t="array" ref="AE121">_xlfn.IFERROR(ROUND(AC121/(G121*H121),2),0)</f>
        <v/>
      </c>
      <c r="AF121" s="7" t="n"/>
      <c r="AG121" s="7" t="n"/>
      <c r="AH121" s="7" t="n"/>
      <c r="AI121" s="7" t="n"/>
      <c r="AJ121" s="7" t="n"/>
      <c r="AK121" s="7" t="n"/>
      <c r="AL121" s="7" t="n"/>
    </row>
    <row r="122" ht="66.59999999999999" customHeight="1" s="104">
      <c r="A122" s="44" t="inlineStr">
        <is>
          <t>3.19</t>
        </is>
      </c>
      <c r="B122" s="44" t="inlineStr">
        <is>
          <t>CABEÇOTE DE ALUMÍNIO PARA ELETRODUTO Ø 1 1/2"</t>
        </is>
      </c>
      <c r="C122" s="44" t="inlineStr">
        <is>
          <t>UN</t>
        </is>
      </c>
      <c r="D122" s="45" t="n">
        <v>2</v>
      </c>
      <c r="E122" s="45" t="n"/>
      <c r="F122" s="45" t="n"/>
      <c r="G122" s="45">
        <f t="array" ref="G122">SUM(D122:F122)</f>
        <v/>
      </c>
      <c r="H122" s="121">
        <f t="array" ref="H122">VLOOKUP(A122,#REF!,5,0)</f>
        <v/>
      </c>
      <c r="I122" s="122" t="n">
        <v>0</v>
      </c>
      <c r="J122" s="123" t="n">
        <v>0</v>
      </c>
      <c r="K122" s="124" t="n">
        <v>0</v>
      </c>
      <c r="L122" s="123" t="n">
        <v>0</v>
      </c>
      <c r="M122" s="124" t="n">
        <v>0</v>
      </c>
      <c r="N122" s="124" t="n">
        <v>0</v>
      </c>
      <c r="O122" s="124" t="n">
        <v>0</v>
      </c>
      <c r="P122" s="124" t="n">
        <v>0</v>
      </c>
      <c r="Q122" s="124" t="n">
        <v>0</v>
      </c>
      <c r="R122" s="124" t="n">
        <v>0</v>
      </c>
      <c r="S122" s="124" t="n">
        <v>0</v>
      </c>
      <c r="T122" s="124" t="n">
        <v>0</v>
      </c>
      <c r="U122" s="124" t="n"/>
      <c r="V122" s="124" t="n"/>
      <c r="W122" s="125">
        <f t="array" ref="W122">SUM(I122:V122)</f>
        <v/>
      </c>
      <c r="X122" s="126" t="n">
        <v>0</v>
      </c>
      <c r="Y122" s="125">
        <f t="array" ref="Y122">W122+X122</f>
        <v/>
      </c>
      <c r="Z122" s="125">
        <f t="array" ref="Z122">G122-Y122</f>
        <v/>
      </c>
      <c r="AA122" s="121">
        <f t="array" ref="AA122">ROUND(W122*H122,2)</f>
        <v/>
      </c>
      <c r="AB122" s="127">
        <f t="array" ref="AB122">ROUND(X122*H122,2)</f>
        <v/>
      </c>
      <c r="AC122" s="121">
        <f t="array" ref="AC122">ROUND(AA122+AB122,2)</f>
        <v/>
      </c>
      <c r="AD122" s="127">
        <f t="array" ref="AD122">ROUND((G122*H122)-AC122,2)</f>
        <v/>
      </c>
      <c r="AE122" s="54">
        <f t="array" ref="AE122">_xlfn.IFERROR(ROUND(AC122/(G122*H122),2),0)</f>
        <v/>
      </c>
      <c r="AF122" s="7" t="n"/>
      <c r="AG122" s="7" t="n"/>
      <c r="AH122" s="7" t="n"/>
      <c r="AI122" s="7" t="n"/>
      <c r="AJ122" s="7" t="n"/>
      <c r="AK122" s="7" t="n"/>
      <c r="AL122" s="7" t="n"/>
    </row>
    <row r="123" ht="66.59999999999999" customHeight="1" s="104">
      <c r="A123" s="44" t="inlineStr">
        <is>
          <t>3.20</t>
        </is>
      </c>
      <c r="B123" s="44" t="inlineStr">
        <is>
          <t>CABEÇOTE DE ALUMÍNIO PARA ELETRODUTO Ø 2"</t>
        </is>
      </c>
      <c r="C123" s="44" t="inlineStr">
        <is>
          <t>UN</t>
        </is>
      </c>
      <c r="D123" s="45" t="n">
        <v>2</v>
      </c>
      <c r="E123" s="45" t="n"/>
      <c r="F123" s="45" t="n"/>
      <c r="G123" s="45">
        <f t="array" ref="G123">SUM(D123:F123)</f>
        <v/>
      </c>
      <c r="H123" s="121">
        <f t="array" ref="H123">VLOOKUP(A123,#REF!,5,0)</f>
        <v/>
      </c>
      <c r="I123" s="122" t="n">
        <v>0</v>
      </c>
      <c r="J123" s="123" t="n">
        <v>0</v>
      </c>
      <c r="K123" s="124" t="n">
        <v>0</v>
      </c>
      <c r="L123" s="123" t="n">
        <v>0</v>
      </c>
      <c r="M123" s="124" t="n">
        <v>0</v>
      </c>
      <c r="N123" s="124" t="n">
        <v>0</v>
      </c>
      <c r="O123" s="124" t="n">
        <v>0</v>
      </c>
      <c r="P123" s="124" t="n">
        <v>0</v>
      </c>
      <c r="Q123" s="124" t="n">
        <v>0</v>
      </c>
      <c r="R123" s="124" t="n">
        <v>0</v>
      </c>
      <c r="S123" s="124" t="n">
        <v>0</v>
      </c>
      <c r="T123" s="124" t="n">
        <v>0</v>
      </c>
      <c r="U123" s="124" t="n"/>
      <c r="V123" s="124" t="n"/>
      <c r="W123" s="125">
        <f t="array" ref="W123">SUM(I123:V123)</f>
        <v/>
      </c>
      <c r="X123" s="126" t="n">
        <v>0</v>
      </c>
      <c r="Y123" s="125">
        <f t="array" ref="Y123">W123+X123</f>
        <v/>
      </c>
      <c r="Z123" s="125">
        <f t="array" ref="Z123">G123-Y123</f>
        <v/>
      </c>
      <c r="AA123" s="121">
        <f t="array" ref="AA123">ROUND(W123*H123,2)</f>
        <v/>
      </c>
      <c r="AB123" s="127">
        <f t="array" ref="AB123">ROUND(X123*H123,2)</f>
        <v/>
      </c>
      <c r="AC123" s="121">
        <f t="array" ref="AC123">ROUND(AA123+AB123,2)</f>
        <v/>
      </c>
      <c r="AD123" s="127">
        <f t="array" ref="AD123">ROUND((G123*H123)-AC123,2)</f>
        <v/>
      </c>
      <c r="AE123" s="54">
        <f t="array" ref="AE123">_xlfn.IFERROR(ROUND(AC123/(G123*H123),2),0)</f>
        <v/>
      </c>
      <c r="AF123" s="7" t="n"/>
      <c r="AG123" s="7" t="n"/>
      <c r="AH123" s="7" t="n"/>
      <c r="AI123" s="7" t="n"/>
      <c r="AJ123" s="7" t="n"/>
      <c r="AK123" s="7" t="n"/>
      <c r="AL123" s="7" t="n"/>
    </row>
    <row r="124" ht="66.59999999999999" customHeight="1" s="104">
      <c r="A124" s="44" t="inlineStr">
        <is>
          <t>3.21</t>
        </is>
      </c>
      <c r="B124" s="44" t="inlineStr">
        <is>
          <t>CABO DE COBRE NU, MEIO DURO, 25MM2</t>
        </is>
      </c>
      <c r="C124" s="44" t="inlineStr">
        <is>
          <t>M</t>
        </is>
      </c>
      <c r="D124" s="45" t="n">
        <v>50</v>
      </c>
      <c r="E124" s="45" t="n"/>
      <c r="F124" s="45" t="n"/>
      <c r="G124" s="45">
        <f t="array" ref="G124">SUM(D124:F124)</f>
        <v/>
      </c>
      <c r="H124" s="121">
        <f t="array" ref="H124">VLOOKUP(A124,#REF!,5,0)</f>
        <v/>
      </c>
      <c r="I124" s="122" t="n">
        <v>0</v>
      </c>
      <c r="J124" s="123" t="n">
        <v>0</v>
      </c>
      <c r="K124" s="124" t="n">
        <v>0</v>
      </c>
      <c r="L124" s="123" t="n">
        <v>0</v>
      </c>
      <c r="M124" s="124" t="n">
        <v>0</v>
      </c>
      <c r="N124" s="124" t="n">
        <v>0</v>
      </c>
      <c r="O124" s="124" t="n">
        <v>0</v>
      </c>
      <c r="P124" s="124" t="n">
        <v>0</v>
      </c>
      <c r="Q124" s="124" t="n">
        <v>0</v>
      </c>
      <c r="R124" s="124" t="n">
        <v>0</v>
      </c>
      <c r="S124" s="124" t="n">
        <v>0</v>
      </c>
      <c r="T124" s="124" t="n">
        <v>0</v>
      </c>
      <c r="U124" s="124" t="n"/>
      <c r="V124" s="124" t="n"/>
      <c r="W124" s="125">
        <f t="array" ref="W124">SUM(I124:V124)</f>
        <v/>
      </c>
      <c r="X124" s="126" t="n">
        <v>0</v>
      </c>
      <c r="Y124" s="125">
        <f t="array" ref="Y124">W124+X124</f>
        <v/>
      </c>
      <c r="Z124" s="125">
        <f t="array" ref="Z124">G124-Y124</f>
        <v/>
      </c>
      <c r="AA124" s="121">
        <f t="array" ref="AA124">ROUND(W124*H124,2)</f>
        <v/>
      </c>
      <c r="AB124" s="127">
        <f t="array" ref="AB124">ROUND(X124*H124,2)</f>
        <v/>
      </c>
      <c r="AC124" s="121">
        <f t="array" ref="AC124">ROUND(AA124+AB124,2)</f>
        <v/>
      </c>
      <c r="AD124" s="127">
        <f t="array" ref="AD124">ROUND((G124*H124)-AC124,2)</f>
        <v/>
      </c>
      <c r="AE124" s="54">
        <f t="array" ref="AE124">_xlfn.IFERROR(ROUND(AC124/(G124*H124),2),0)</f>
        <v/>
      </c>
      <c r="AF124" s="7" t="n"/>
      <c r="AG124" s="7" t="n"/>
      <c r="AH124" s="7" t="n"/>
      <c r="AI124" s="7" t="n"/>
      <c r="AJ124" s="7" t="n"/>
      <c r="AK124" s="7" t="n"/>
      <c r="AL124" s="7" t="n"/>
    </row>
    <row r="125" ht="133.2" customHeight="1" s="104">
      <c r="A125" s="44" t="inlineStr">
        <is>
          <t>3.22</t>
        </is>
      </c>
      <c r="B125" s="44" t="inlineStr">
        <is>
          <t>CABO DE COBRE UNIPOLAR, FLEXÍVEL ISOLADO EM PVC, 750V, BITOLA 10MM2</t>
        </is>
      </c>
      <c r="C125" s="44" t="inlineStr">
        <is>
          <t>M</t>
        </is>
      </c>
      <c r="D125" s="45" t="n">
        <v>120</v>
      </c>
      <c r="E125" s="45" t="n"/>
      <c r="F125" s="45" t="n"/>
      <c r="G125" s="45">
        <f t="array" ref="G125">SUM(D125:F125)</f>
        <v/>
      </c>
      <c r="H125" s="121">
        <f t="array" ref="H125">VLOOKUP(A125,#REF!,5,0)</f>
        <v/>
      </c>
      <c r="I125" s="122" t="n">
        <v>0</v>
      </c>
      <c r="J125" s="123" t="n">
        <v>0</v>
      </c>
      <c r="K125" s="124" t="n">
        <v>0</v>
      </c>
      <c r="L125" s="123" t="n">
        <v>0</v>
      </c>
      <c r="M125" s="124" t="n">
        <v>0</v>
      </c>
      <c r="N125" s="124" t="n">
        <v>0</v>
      </c>
      <c r="O125" s="124" t="n">
        <v>0</v>
      </c>
      <c r="P125" s="124" t="n">
        <v>0</v>
      </c>
      <c r="Q125" s="124" t="n">
        <v>0</v>
      </c>
      <c r="R125" s="124" t="n">
        <v>120</v>
      </c>
      <c r="S125" s="124" t="n">
        <v>0</v>
      </c>
      <c r="T125" s="124" t="n">
        <v>0</v>
      </c>
      <c r="U125" s="124" t="n"/>
      <c r="V125" s="124" t="n"/>
      <c r="W125" s="125">
        <f t="array" ref="W125">SUM(I125:V125)</f>
        <v/>
      </c>
      <c r="X125" s="126" t="n">
        <v>0</v>
      </c>
      <c r="Y125" s="125">
        <f t="array" ref="Y125">W125+X125</f>
        <v/>
      </c>
      <c r="Z125" s="125">
        <f t="array" ref="Z125">G125-Y125</f>
        <v/>
      </c>
      <c r="AA125" s="121">
        <f t="array" ref="AA125">ROUND(W125*H125,2)</f>
        <v/>
      </c>
      <c r="AB125" s="127">
        <f t="array" ref="AB125">ROUND(X125*H125,2)</f>
        <v/>
      </c>
      <c r="AC125" s="121">
        <f t="array" ref="AC125">ROUND(AA125+AB125,2)</f>
        <v/>
      </c>
      <c r="AD125" s="127">
        <f t="array" ref="AD125">ROUND((G125*H125)-AC125,2)</f>
        <v/>
      </c>
      <c r="AE125" s="54">
        <f t="array" ref="AE125">_xlfn.IFERROR(ROUND(AC125/(G125*H125),2),0)</f>
        <v/>
      </c>
      <c r="AF125" s="7" t="n"/>
      <c r="AG125" s="7" t="n"/>
      <c r="AH125" s="7" t="n"/>
      <c r="AI125" s="7" t="n"/>
      <c r="AJ125" s="7" t="n"/>
      <c r="AK125" s="7" t="n"/>
      <c r="AL125" s="7" t="n"/>
    </row>
    <row r="126" ht="133.2" customHeight="1" s="104">
      <c r="A126" s="44" t="inlineStr">
        <is>
          <t>3.23</t>
        </is>
      </c>
      <c r="B126" s="44" t="inlineStr">
        <is>
          <t>CABO DE COBRE UNIPOLAR, FLEXÍVEL ISOLADO EM PVC, 750V, BITOLA 2,5MM2</t>
        </is>
      </c>
      <c r="C126" s="44" t="inlineStr">
        <is>
          <t>M</t>
        </is>
      </c>
      <c r="D126" s="45" t="n">
        <v>17600</v>
      </c>
      <c r="E126" s="45" t="n">
        <v>5000</v>
      </c>
      <c r="F126" s="45" t="n"/>
      <c r="G126" s="45">
        <f t="array" ref="G126">SUM(D126:F126)</f>
        <v/>
      </c>
      <c r="H126" s="121">
        <f t="array" ref="H126">VLOOKUP(A126,#REF!,5,0)</f>
        <v/>
      </c>
      <c r="I126" s="122" t="n">
        <v>0</v>
      </c>
      <c r="J126" s="123" t="n">
        <v>0</v>
      </c>
      <c r="K126" s="124" t="n">
        <v>2309</v>
      </c>
      <c r="L126" s="123" t="n">
        <v>2810</v>
      </c>
      <c r="M126" s="124" t="n">
        <v>4587</v>
      </c>
      <c r="N126" s="124" t="n">
        <v>3088.5</v>
      </c>
      <c r="O126" s="124" t="n">
        <v>1587</v>
      </c>
      <c r="P126" s="124" t="n">
        <v>1548</v>
      </c>
      <c r="Q126" s="124" t="n">
        <v>2187</v>
      </c>
      <c r="R126" s="124" t="n">
        <v>4483</v>
      </c>
      <c r="S126" s="124" t="n">
        <v>0</v>
      </c>
      <c r="T126" s="124" t="n">
        <v>0</v>
      </c>
      <c r="U126" s="124" t="n"/>
      <c r="V126" s="124" t="n"/>
      <c r="W126" s="125">
        <f t="array" ref="W126">SUM(I126:V126)</f>
        <v/>
      </c>
      <c r="X126" s="126" t="n">
        <v>0</v>
      </c>
      <c r="Y126" s="125">
        <f t="array" ref="Y126">W126+X126</f>
        <v/>
      </c>
      <c r="Z126" s="125">
        <f t="array" ref="Z126">G126-Y126</f>
        <v/>
      </c>
      <c r="AA126" s="121">
        <f t="array" ref="AA126">ROUND(W126*H126,2)</f>
        <v/>
      </c>
      <c r="AB126" s="127">
        <f t="array" ref="AB126">ROUND(X126*H126,2)</f>
        <v/>
      </c>
      <c r="AC126" s="121">
        <f t="array" ref="AC126">ROUND(AA126+AB126,2)</f>
        <v/>
      </c>
      <c r="AD126" s="127">
        <f t="array" ref="AD126">ROUND((G126*H126)-AC126,2)</f>
        <v/>
      </c>
      <c r="AE126" s="54">
        <f t="array" ref="AE126">_xlfn.IFERROR(ROUND(AC126/(G126*H126),2),0)</f>
        <v/>
      </c>
      <c r="AF126" s="7" t="n"/>
      <c r="AG126" s="7" t="n"/>
      <c r="AH126" s="7" t="n"/>
      <c r="AI126" s="7" t="n"/>
      <c r="AJ126" s="7" t="n"/>
      <c r="AK126" s="7" t="n"/>
      <c r="AL126" s="7" t="n"/>
    </row>
    <row r="127" ht="133.2" customHeight="1" s="104">
      <c r="A127" s="44" t="inlineStr">
        <is>
          <t>3.24</t>
        </is>
      </c>
      <c r="B127" s="44" t="inlineStr">
        <is>
          <t>CABO DE COBRE UNIPOLAR, FLEXÍVEL, ISOLADO EM PVC, EPR OU XLPE, 0,6/1KV, SEÇÃO 10MM2</t>
        </is>
      </c>
      <c r="C127" s="44" t="inlineStr">
        <is>
          <t>M</t>
        </is>
      </c>
      <c r="D127" s="45" t="n">
        <v>250</v>
      </c>
      <c r="E127" s="45" t="n"/>
      <c r="F127" s="45" t="n"/>
      <c r="G127" s="45">
        <f t="array" ref="G127">SUM(D127:F127)</f>
        <v/>
      </c>
      <c r="H127" s="121">
        <f t="array" ref="H127">VLOOKUP(A127,#REF!,5,0)</f>
        <v/>
      </c>
      <c r="I127" s="122" t="n">
        <v>0</v>
      </c>
      <c r="J127" s="123" t="n">
        <v>0</v>
      </c>
      <c r="K127" s="124" t="n">
        <v>0</v>
      </c>
      <c r="L127" s="123" t="n">
        <v>0</v>
      </c>
      <c r="M127" s="124" t="n">
        <v>0</v>
      </c>
      <c r="N127" s="124" t="n">
        <v>0</v>
      </c>
      <c r="O127" s="124" t="n">
        <v>0</v>
      </c>
      <c r="P127" s="124" t="n">
        <v>0</v>
      </c>
      <c r="Q127" s="124" t="n">
        <v>0</v>
      </c>
      <c r="R127" s="124" t="n">
        <v>250</v>
      </c>
      <c r="S127" s="124" t="n">
        <v>0</v>
      </c>
      <c r="T127" s="124" t="n">
        <v>0</v>
      </c>
      <c r="U127" s="124" t="n"/>
      <c r="V127" s="124" t="n"/>
      <c r="W127" s="125">
        <f t="array" ref="W127">SUM(I127:V127)</f>
        <v/>
      </c>
      <c r="X127" s="126" t="n">
        <v>0</v>
      </c>
      <c r="Y127" s="125">
        <f t="array" ref="Y127">W127+X127</f>
        <v/>
      </c>
      <c r="Z127" s="125">
        <f t="array" ref="Z127">G127-Y127</f>
        <v/>
      </c>
      <c r="AA127" s="121">
        <f t="array" ref="AA127">ROUND(W127*H127,2)</f>
        <v/>
      </c>
      <c r="AB127" s="127">
        <f t="array" ref="AB127">ROUND(X127*H127,2)</f>
        <v/>
      </c>
      <c r="AC127" s="121">
        <f t="array" ref="AC127">ROUND(AA127+AB127,2)</f>
        <v/>
      </c>
      <c r="AD127" s="127">
        <f t="array" ref="AD127">ROUND((G127*H127)-AC127,2)</f>
        <v/>
      </c>
      <c r="AE127" s="54">
        <f t="array" ref="AE127">_xlfn.IFERROR(ROUND(AC127/(G127*H127),2),0)</f>
        <v/>
      </c>
      <c r="AF127" s="7" t="n"/>
      <c r="AG127" s="7" t="n"/>
      <c r="AH127" s="7" t="n"/>
      <c r="AI127" s="7" t="n"/>
      <c r="AJ127" s="7" t="n"/>
      <c r="AK127" s="7" t="n"/>
      <c r="AL127" s="7" t="n"/>
    </row>
    <row r="128" ht="133.2" customHeight="1" s="104">
      <c r="A128" s="44" t="inlineStr">
        <is>
          <t>3.25</t>
        </is>
      </c>
      <c r="B128" s="44" t="inlineStr">
        <is>
          <t>CABO DE COBRE UNIPOLAR, FLEXÍVEL, ISOLADO EM PVC, EPR OU XLPE, 0,6/1KV, SEÇÃO 16MM2</t>
        </is>
      </c>
      <c r="C128" s="44" t="inlineStr">
        <is>
          <t>M</t>
        </is>
      </c>
      <c r="D128" s="45" t="n">
        <v>100</v>
      </c>
      <c r="E128" s="45" t="n"/>
      <c r="F128" s="45" t="n"/>
      <c r="G128" s="45">
        <f t="array" ref="G128">SUM(D128:F128)</f>
        <v/>
      </c>
      <c r="H128" s="121">
        <f t="array" ref="H128">VLOOKUP(A128,#REF!,5,0)</f>
        <v/>
      </c>
      <c r="I128" s="122" t="n">
        <v>0</v>
      </c>
      <c r="J128" s="123" t="n">
        <v>0</v>
      </c>
      <c r="K128" s="124" t="n">
        <v>0</v>
      </c>
      <c r="L128" s="123" t="n">
        <v>0</v>
      </c>
      <c r="M128" s="124" t="n">
        <v>0</v>
      </c>
      <c r="N128" s="124" t="n">
        <v>0</v>
      </c>
      <c r="O128" s="124" t="n">
        <v>0</v>
      </c>
      <c r="P128" s="124" t="n">
        <v>0</v>
      </c>
      <c r="Q128" s="124" t="n">
        <v>0</v>
      </c>
      <c r="R128" s="124" t="n">
        <v>100</v>
      </c>
      <c r="S128" s="124" t="n">
        <v>0</v>
      </c>
      <c r="T128" s="124" t="n">
        <v>0</v>
      </c>
      <c r="U128" s="124" t="n"/>
      <c r="V128" s="124" t="n"/>
      <c r="W128" s="125">
        <f t="array" ref="W128">SUM(I128:V128)</f>
        <v/>
      </c>
      <c r="X128" s="126" t="n">
        <v>0</v>
      </c>
      <c r="Y128" s="125">
        <f t="array" ref="Y128">W128+X128</f>
        <v/>
      </c>
      <c r="Z128" s="125">
        <f t="array" ref="Z128">G128-Y128</f>
        <v/>
      </c>
      <c r="AA128" s="121">
        <f t="array" ref="AA128">ROUND(W128*H128,2)</f>
        <v/>
      </c>
      <c r="AB128" s="127">
        <f t="array" ref="AB128">ROUND(X128*H128,2)</f>
        <v/>
      </c>
      <c r="AC128" s="121">
        <f t="array" ref="AC128">ROUND(AA128+AB128,2)</f>
        <v/>
      </c>
      <c r="AD128" s="127">
        <f t="array" ref="AD128">ROUND((G128*H128)-AC128,2)</f>
        <v/>
      </c>
      <c r="AE128" s="54">
        <f t="array" ref="AE128">_xlfn.IFERROR(ROUND(AC128/(G128*H128),2),0)</f>
        <v/>
      </c>
      <c r="AF128" s="7" t="n"/>
      <c r="AG128" s="7" t="n"/>
      <c r="AH128" s="7" t="n"/>
      <c r="AI128" s="7" t="n"/>
      <c r="AJ128" s="7" t="n"/>
      <c r="AK128" s="7" t="n"/>
      <c r="AL128" s="7" t="n"/>
    </row>
    <row r="129" ht="133.2" customHeight="1" s="104">
      <c r="A129" s="44" t="inlineStr">
        <is>
          <t>3.26</t>
        </is>
      </c>
      <c r="B129" s="44" t="inlineStr">
        <is>
          <t>CABO DE COBRE UNIPOLAR, FLEXÍVEL, ISOLADO EM PVC, EPR OU XLPE, 0,6/1KV, SEÇÃO 2,5MM2</t>
        </is>
      </c>
      <c r="C129" s="44" t="inlineStr">
        <is>
          <t>M</t>
        </is>
      </c>
      <c r="D129" s="45" t="n">
        <v>2500</v>
      </c>
      <c r="E129" s="45" t="n"/>
      <c r="F129" s="45" t="n"/>
      <c r="G129" s="45">
        <f t="array" ref="G129">SUM(D129:F129)</f>
        <v/>
      </c>
      <c r="H129" s="121">
        <f t="array" ref="H129">VLOOKUP(A129,#REF!,5,0)</f>
        <v/>
      </c>
      <c r="I129" s="122" t="n">
        <v>0</v>
      </c>
      <c r="J129" s="123" t="n">
        <v>0</v>
      </c>
      <c r="K129" s="124" t="n">
        <v>0</v>
      </c>
      <c r="L129" s="123" t="n">
        <v>0</v>
      </c>
      <c r="M129" s="124" t="n">
        <v>0</v>
      </c>
      <c r="N129" s="124" t="n">
        <v>0</v>
      </c>
      <c r="O129" s="124" t="n">
        <v>0</v>
      </c>
      <c r="P129" s="124" t="n">
        <v>0</v>
      </c>
      <c r="Q129" s="124" t="n">
        <v>2145</v>
      </c>
      <c r="R129" s="124" t="n">
        <v>355</v>
      </c>
      <c r="S129" s="124" t="n">
        <v>0</v>
      </c>
      <c r="T129" s="124" t="n">
        <v>0</v>
      </c>
      <c r="U129" s="124" t="n"/>
      <c r="V129" s="124" t="n"/>
      <c r="W129" s="125">
        <f t="array" ref="W129">SUM(I129:V129)</f>
        <v/>
      </c>
      <c r="X129" s="126" t="n">
        <v>0</v>
      </c>
      <c r="Y129" s="125">
        <f t="array" ref="Y129">W129+X129</f>
        <v/>
      </c>
      <c r="Z129" s="125">
        <f t="array" ref="Z129">G129-Y129</f>
        <v/>
      </c>
      <c r="AA129" s="121">
        <f t="array" ref="AA129">ROUND(W129*H129,2)</f>
        <v/>
      </c>
      <c r="AB129" s="127">
        <f t="array" ref="AB129">ROUND(X129*H129,2)</f>
        <v/>
      </c>
      <c r="AC129" s="121">
        <f t="array" ref="AC129">ROUND(AA129+AB129,2)</f>
        <v/>
      </c>
      <c r="AD129" s="127">
        <f t="array" ref="AD129">ROUND((G129*H129)-AC129,2)</f>
        <v/>
      </c>
      <c r="AE129" s="54">
        <f t="array" ref="AE129">_xlfn.IFERROR(ROUND(AC129/(G129*H129),2),0)</f>
        <v/>
      </c>
      <c r="AF129" s="7" t="n"/>
      <c r="AG129" s="7" t="n"/>
      <c r="AH129" s="7" t="n"/>
      <c r="AI129" s="7" t="n"/>
      <c r="AJ129" s="7" t="n"/>
      <c r="AK129" s="7" t="n"/>
      <c r="AL129" s="7" t="n"/>
    </row>
    <row r="130" ht="133.2" customHeight="1" s="104">
      <c r="A130" s="44" t="inlineStr">
        <is>
          <t>3.27</t>
        </is>
      </c>
      <c r="B130" s="44" t="inlineStr">
        <is>
          <t>CABO DE COBRE UNIPOLAR, FLEXÍVEL, ISOLADO EM PVC, EPR OU XLPE, 0,6/1KV, SEÇÃO 25MM2</t>
        </is>
      </c>
      <c r="C130" s="44" t="inlineStr">
        <is>
          <t>M</t>
        </is>
      </c>
      <c r="D130" s="45" t="n">
        <v>100</v>
      </c>
      <c r="E130" s="45" t="n"/>
      <c r="F130" s="45" t="n"/>
      <c r="G130" s="45">
        <f t="array" ref="G130">SUM(D130:F130)</f>
        <v/>
      </c>
      <c r="H130" s="121">
        <f t="array" ref="H130">VLOOKUP(A130,#REF!,5,0)</f>
        <v/>
      </c>
      <c r="I130" s="122" t="n">
        <v>0</v>
      </c>
      <c r="J130" s="123" t="n">
        <v>0</v>
      </c>
      <c r="K130" s="124" t="n">
        <v>0</v>
      </c>
      <c r="L130" s="123" t="n">
        <v>0</v>
      </c>
      <c r="M130" s="124" t="n">
        <v>0</v>
      </c>
      <c r="N130" s="124" t="n">
        <v>0</v>
      </c>
      <c r="O130" s="124" t="n">
        <v>0</v>
      </c>
      <c r="P130" s="124" t="n">
        <v>0</v>
      </c>
      <c r="Q130" s="124" t="n">
        <v>0</v>
      </c>
      <c r="R130" s="124" t="n">
        <v>100</v>
      </c>
      <c r="S130" s="124" t="n">
        <v>0</v>
      </c>
      <c r="T130" s="124" t="n">
        <v>0</v>
      </c>
      <c r="U130" s="124" t="n"/>
      <c r="V130" s="124" t="n"/>
      <c r="W130" s="125">
        <f t="array" ref="W130">SUM(I130:V130)</f>
        <v/>
      </c>
      <c r="X130" s="126" t="n">
        <v>0</v>
      </c>
      <c r="Y130" s="125">
        <f t="array" ref="Y130">W130+X130</f>
        <v/>
      </c>
      <c r="Z130" s="125">
        <f t="array" ref="Z130">G130-Y130</f>
        <v/>
      </c>
      <c r="AA130" s="121">
        <f t="array" ref="AA130">ROUND(W130*H130,2)</f>
        <v/>
      </c>
      <c r="AB130" s="127">
        <f t="array" ref="AB130">ROUND(X130*H130,2)</f>
        <v/>
      </c>
      <c r="AC130" s="121">
        <f t="array" ref="AC130">ROUND(AA130+AB130,2)</f>
        <v/>
      </c>
      <c r="AD130" s="127">
        <f t="array" ref="AD130">ROUND((G130*H130)-AC130,2)</f>
        <v/>
      </c>
      <c r="AE130" s="54">
        <f t="array" ref="AE130">_xlfn.IFERROR(ROUND(AC130/(G130*H130),2),0)</f>
        <v/>
      </c>
      <c r="AF130" s="7" t="n"/>
      <c r="AG130" s="7" t="n"/>
      <c r="AH130" s="7" t="n"/>
      <c r="AI130" s="7" t="n"/>
      <c r="AJ130" s="7" t="n"/>
      <c r="AK130" s="7" t="n"/>
      <c r="AL130" s="7" t="n"/>
    </row>
    <row r="131" ht="133.2" customHeight="1" s="104">
      <c r="A131" s="44" t="inlineStr">
        <is>
          <t>3.28</t>
        </is>
      </c>
      <c r="B131" s="44" t="inlineStr">
        <is>
          <t>CABO DE COBRE UNIPOLAR, FLEXÍVEL, ISOLADO EM PVC, EPR OU XLPE, 0,6/1KV, SEÇÃO 4,0MM2</t>
        </is>
      </c>
      <c r="C131" s="44" t="inlineStr">
        <is>
          <t>M</t>
        </is>
      </c>
      <c r="D131" s="45" t="n">
        <v>100</v>
      </c>
      <c r="E131" s="45" t="n"/>
      <c r="F131" s="45" t="n"/>
      <c r="G131" s="45">
        <f t="array" ref="G131">SUM(D131:F131)</f>
        <v/>
      </c>
      <c r="H131" s="121">
        <f t="array" ref="H131">VLOOKUP(A131,#REF!,5,0)</f>
        <v/>
      </c>
      <c r="I131" s="122" t="n">
        <v>0</v>
      </c>
      <c r="J131" s="123" t="n">
        <v>1</v>
      </c>
      <c r="K131" s="124" t="n">
        <v>0</v>
      </c>
      <c r="L131" s="123" t="n">
        <v>0</v>
      </c>
      <c r="M131" s="124" t="n">
        <v>0</v>
      </c>
      <c r="N131" s="124" t="n">
        <v>3</v>
      </c>
      <c r="O131" s="124" t="n">
        <v>0</v>
      </c>
      <c r="P131" s="124" t="n">
        <v>0</v>
      </c>
      <c r="Q131" s="124" t="n">
        <v>0</v>
      </c>
      <c r="R131" s="124" t="n">
        <v>96</v>
      </c>
      <c r="S131" s="124" t="n">
        <v>0</v>
      </c>
      <c r="T131" s="124" t="n">
        <v>0</v>
      </c>
      <c r="U131" s="124" t="n"/>
      <c r="V131" s="124" t="n"/>
      <c r="W131" s="125">
        <f t="array" ref="W131">SUM(I131:V131)</f>
        <v/>
      </c>
      <c r="X131" s="126" t="n">
        <v>0</v>
      </c>
      <c r="Y131" s="125">
        <f t="array" ref="Y131">W131+X131</f>
        <v/>
      </c>
      <c r="Z131" s="125">
        <f t="array" ref="Z131">G131-Y131</f>
        <v/>
      </c>
      <c r="AA131" s="121">
        <f t="array" ref="AA131">ROUND(W131*H131,2)</f>
        <v/>
      </c>
      <c r="AB131" s="127">
        <f t="array" ref="AB131">ROUND(X131*H131,2)</f>
        <v/>
      </c>
      <c r="AC131" s="121">
        <f t="array" ref="AC131">ROUND(AA131+AB131,2)</f>
        <v/>
      </c>
      <c r="AD131" s="127">
        <f t="array" ref="AD131">ROUND((G131*H131)-AC131,2)</f>
        <v/>
      </c>
      <c r="AE131" s="54">
        <f t="array" ref="AE131">_xlfn.IFERROR(ROUND(AC131/(G131*H131),2),0)</f>
        <v/>
      </c>
      <c r="AF131" s="7" t="n"/>
      <c r="AG131" s="7" t="n"/>
      <c r="AH131" s="7" t="n"/>
      <c r="AI131" s="7" t="n"/>
      <c r="AJ131" s="7" t="n"/>
      <c r="AK131" s="7" t="n"/>
      <c r="AL131" s="7" t="n"/>
    </row>
    <row r="132" ht="133.2" customHeight="1" s="104">
      <c r="A132" s="44" t="inlineStr">
        <is>
          <t>3.29</t>
        </is>
      </c>
      <c r="B132" s="44" t="inlineStr">
        <is>
          <t>CABO DE COBRE UNIPOLAR, FLEXÍVEL, ISOLADO EM PVC, EPR OU XLPE, 0,6/1KV, SEÇÃO 6,0MM2</t>
        </is>
      </c>
      <c r="C132" s="44" t="inlineStr">
        <is>
          <t>M</t>
        </is>
      </c>
      <c r="D132" s="45" t="n">
        <v>100</v>
      </c>
      <c r="E132" s="45" t="n"/>
      <c r="F132" s="45" t="n"/>
      <c r="G132" s="45">
        <f t="array" ref="G132">SUM(D132:F132)</f>
        <v/>
      </c>
      <c r="H132" s="121">
        <f t="array" ref="H132">VLOOKUP(A132,#REF!,5,0)</f>
        <v/>
      </c>
      <c r="I132" s="122" t="n">
        <v>0</v>
      </c>
      <c r="J132" s="123" t="n">
        <v>0</v>
      </c>
      <c r="K132" s="124" t="n">
        <v>0</v>
      </c>
      <c r="L132" s="123" t="n">
        <v>0</v>
      </c>
      <c r="M132" s="124" t="n">
        <v>0</v>
      </c>
      <c r="N132" s="124" t="n">
        <v>0</v>
      </c>
      <c r="O132" s="124" t="n">
        <v>0</v>
      </c>
      <c r="P132" s="124" t="n">
        <v>0</v>
      </c>
      <c r="Q132" s="124" t="n">
        <v>0</v>
      </c>
      <c r="R132" s="124" t="n">
        <v>0</v>
      </c>
      <c r="S132" s="124" t="n">
        <v>0</v>
      </c>
      <c r="T132" s="124" t="n">
        <v>0</v>
      </c>
      <c r="U132" s="124" t="n"/>
      <c r="V132" s="124" t="n"/>
      <c r="W132" s="125">
        <f t="array" ref="W132">SUM(I132:V132)</f>
        <v/>
      </c>
      <c r="X132" s="126" t="n">
        <v>0</v>
      </c>
      <c r="Y132" s="125">
        <f t="array" ref="Y132">W132+X132</f>
        <v/>
      </c>
      <c r="Z132" s="125">
        <f t="array" ref="Z132">G132-Y132</f>
        <v/>
      </c>
      <c r="AA132" s="121">
        <f t="array" ref="AA132">ROUND(W132*H132,2)</f>
        <v/>
      </c>
      <c r="AB132" s="127">
        <f t="array" ref="AB132">ROUND(X132*H132,2)</f>
        <v/>
      </c>
      <c r="AC132" s="121">
        <f t="array" ref="AC132">ROUND(AA132+AB132,2)</f>
        <v/>
      </c>
      <c r="AD132" s="127">
        <f t="array" ref="AD132">ROUND((G132*H132)-AC132,2)</f>
        <v/>
      </c>
      <c r="AE132" s="54">
        <f t="array" ref="AE132">_xlfn.IFERROR(ROUND(AC132/(G132*H132),2),0)</f>
        <v/>
      </c>
      <c r="AF132" s="7" t="n"/>
      <c r="AG132" s="7" t="n"/>
      <c r="AH132" s="7" t="n"/>
      <c r="AI132" s="7" t="n"/>
      <c r="AJ132" s="7" t="n"/>
      <c r="AK132" s="7" t="n"/>
      <c r="AL132" s="7" t="n"/>
    </row>
    <row r="133" ht="133.2" customHeight="1" s="104">
      <c r="A133" s="44" t="inlineStr">
        <is>
          <t>3.30</t>
        </is>
      </c>
      <c r="B133" s="44" t="inlineStr">
        <is>
          <t>CABO DE COBRE MULTIPOLAR, FLEXÍVEL, ISOLADO EM PVC, EPR OU XLPE, 0,6/1KV, SEÇÃO 2 X 2,5MM2</t>
        </is>
      </c>
      <c r="C133" s="44" t="inlineStr">
        <is>
          <t>M</t>
        </is>
      </c>
      <c r="D133" s="45" t="n">
        <v>7424</v>
      </c>
      <c r="E133" s="45" t="n">
        <v>1000</v>
      </c>
      <c r="F133" s="45" t="n"/>
      <c r="G133" s="45">
        <f t="array" ref="G133">SUM(D133:F133)</f>
        <v/>
      </c>
      <c r="H133" s="121">
        <f t="array" ref="H133">VLOOKUP(A133,#REF!,5,0)</f>
        <v/>
      </c>
      <c r="I133" s="122" t="n">
        <v>321</v>
      </c>
      <c r="J133" s="123" t="n">
        <v>2028</v>
      </c>
      <c r="K133" s="124" t="n">
        <v>1350</v>
      </c>
      <c r="L133" s="123" t="n">
        <v>587</v>
      </c>
      <c r="M133" s="124" t="n">
        <v>1100</v>
      </c>
      <c r="N133" s="124" t="n">
        <v>511</v>
      </c>
      <c r="O133" s="124" t="n">
        <v>91</v>
      </c>
      <c r="P133" s="124" t="n">
        <v>132</v>
      </c>
      <c r="Q133" s="124" t="n">
        <v>1131</v>
      </c>
      <c r="R133" s="124" t="n">
        <v>416</v>
      </c>
      <c r="S133" s="124" t="n">
        <v>331</v>
      </c>
      <c r="T133" s="124" t="n">
        <v>421</v>
      </c>
      <c r="U133" s="124" t="n"/>
      <c r="V133" s="124" t="n"/>
      <c r="W133" s="125">
        <f t="array" ref="W133">SUM(I133:V133)</f>
        <v/>
      </c>
      <c r="X133" s="126" t="n">
        <v>4</v>
      </c>
      <c r="Y133" s="125">
        <f t="array" ref="Y133">W133+X133</f>
        <v/>
      </c>
      <c r="Z133" s="125">
        <f t="array" ref="Z133">G133-Y133</f>
        <v/>
      </c>
      <c r="AA133" s="121">
        <f t="array" ref="AA133">ROUND(W133*H133,2)</f>
        <v/>
      </c>
      <c r="AB133" s="127">
        <f t="array" ref="AB133">ROUND(X133*H133,2)</f>
        <v/>
      </c>
      <c r="AC133" s="121">
        <f t="array" ref="AC133">ROUND(AA133+AB133,2)</f>
        <v/>
      </c>
      <c r="AD133" s="127">
        <f t="array" ref="AD133">ROUND((G133*H133)-AC133,2)</f>
        <v/>
      </c>
      <c r="AE133" s="54">
        <f t="array" ref="AE133">_xlfn.IFERROR(ROUND(AC133/(G133*H133),2),0)</f>
        <v/>
      </c>
      <c r="AF133" s="7" t="n"/>
      <c r="AG133" s="7" t="n"/>
      <c r="AH133" s="7" t="n"/>
      <c r="AI133" s="7" t="n"/>
      <c r="AJ133" s="7" t="n"/>
      <c r="AK133" s="7" t="n"/>
      <c r="AL133" s="7" t="n"/>
    </row>
    <row r="134" ht="133.2" customHeight="1" s="104">
      <c r="A134" s="44" t="inlineStr">
        <is>
          <t>3.31</t>
        </is>
      </c>
      <c r="B134" s="44" t="inlineStr">
        <is>
          <t>CABO DE COBRE MULTIPOLAR, FLEXÍVEL, ISOLADO EM PVC, EPR OU XLPE, 0,6/1KV, SEÇÃO 3 X 2,5MM2</t>
        </is>
      </c>
      <c r="C134" s="44" t="inlineStr">
        <is>
          <t>M</t>
        </is>
      </c>
      <c r="D134" s="45" t="n">
        <v>90</v>
      </c>
      <c r="E134" s="45" t="n"/>
      <c r="F134" s="45" t="n"/>
      <c r="G134" s="45">
        <f t="array" ref="G134">SUM(D134:F134)</f>
        <v/>
      </c>
      <c r="H134" s="121">
        <f t="array" ref="H134">VLOOKUP(A134,#REF!,5,0)</f>
        <v/>
      </c>
      <c r="I134" s="122" t="n">
        <v>0</v>
      </c>
      <c r="J134" s="123" t="n">
        <v>0</v>
      </c>
      <c r="K134" s="124" t="n">
        <v>0</v>
      </c>
      <c r="L134" s="123" t="n">
        <v>0</v>
      </c>
      <c r="M134" s="124" t="n">
        <v>0</v>
      </c>
      <c r="N134" s="124" t="n">
        <v>0</v>
      </c>
      <c r="O134" s="124" t="n">
        <v>0</v>
      </c>
      <c r="P134" s="124" t="n">
        <v>0</v>
      </c>
      <c r="Q134" s="124" t="n">
        <v>0</v>
      </c>
      <c r="R134" s="124" t="n">
        <v>0</v>
      </c>
      <c r="S134" s="124" t="n">
        <v>0</v>
      </c>
      <c r="T134" s="124" t="n">
        <v>0</v>
      </c>
      <c r="U134" s="124" t="n"/>
      <c r="V134" s="124" t="n"/>
      <c r="W134" s="125">
        <f t="array" ref="W134">SUM(I134:V134)</f>
        <v/>
      </c>
      <c r="X134" s="126" t="n">
        <v>0</v>
      </c>
      <c r="Y134" s="125">
        <f t="array" ref="Y134">W134+X134</f>
        <v/>
      </c>
      <c r="Z134" s="125">
        <f t="array" ref="Z134">G134-Y134</f>
        <v/>
      </c>
      <c r="AA134" s="121">
        <f t="array" ref="AA134">ROUND(W134*H134,2)</f>
        <v/>
      </c>
      <c r="AB134" s="127">
        <f t="array" ref="AB134">ROUND(X134*H134,2)</f>
        <v/>
      </c>
      <c r="AC134" s="121">
        <f t="array" ref="AC134">ROUND(AA134+AB134,2)</f>
        <v/>
      </c>
      <c r="AD134" s="127">
        <f t="array" ref="AD134">ROUND((G134*H134)-AC134,2)</f>
        <v/>
      </c>
      <c r="AE134" s="54">
        <f t="array" ref="AE134">_xlfn.IFERROR(ROUND(AC134/(G134*H134),2),0)</f>
        <v/>
      </c>
      <c r="AF134" s="7" t="n"/>
      <c r="AG134" s="7" t="n"/>
      <c r="AH134" s="7" t="n"/>
      <c r="AI134" s="7" t="n"/>
      <c r="AJ134" s="7" t="n"/>
      <c r="AK134" s="7" t="n"/>
      <c r="AL134" s="7" t="n"/>
    </row>
    <row r="135" ht="133.2" customHeight="1" s="104">
      <c r="A135" s="44" t="inlineStr">
        <is>
          <t>3.32</t>
        </is>
      </c>
      <c r="B135" s="44" t="inlineStr">
        <is>
          <t>CABO DE COBRE MULTIPOLAR, FLEXÍVEL, ISOLADO EM PVC, EPR OU XLPE, 0,6/1KV, SEÇÃO 3 X 6,0MM2</t>
        </is>
      </c>
      <c r="C135" s="44" t="inlineStr">
        <is>
          <t>M</t>
        </is>
      </c>
      <c r="D135" s="45" t="n">
        <v>100</v>
      </c>
      <c r="E135" s="45" t="n"/>
      <c r="F135" s="45" t="n"/>
      <c r="G135" s="45">
        <f t="array" ref="G135">SUM(D135:F135)</f>
        <v/>
      </c>
      <c r="H135" s="121">
        <f t="array" ref="H135">VLOOKUP(A135,#REF!,5,0)</f>
        <v/>
      </c>
      <c r="I135" s="122" t="n">
        <v>0</v>
      </c>
      <c r="J135" s="123" t="n">
        <v>0</v>
      </c>
      <c r="K135" s="124" t="n">
        <v>0</v>
      </c>
      <c r="L135" s="123" t="n">
        <v>0</v>
      </c>
      <c r="M135" s="124" t="n">
        <v>0</v>
      </c>
      <c r="N135" s="124" t="n">
        <v>0</v>
      </c>
      <c r="O135" s="124" t="n">
        <v>0</v>
      </c>
      <c r="P135" s="124" t="n">
        <v>0</v>
      </c>
      <c r="Q135" s="124" t="n">
        <v>0</v>
      </c>
      <c r="R135" s="124" t="n">
        <v>100</v>
      </c>
      <c r="S135" s="124" t="n">
        <v>0</v>
      </c>
      <c r="T135" s="124" t="n">
        <v>0</v>
      </c>
      <c r="U135" s="124" t="n"/>
      <c r="V135" s="124" t="n"/>
      <c r="W135" s="125">
        <f t="array" ref="W135">SUM(I135:V135)</f>
        <v/>
      </c>
      <c r="X135" s="126" t="n">
        <v>0</v>
      </c>
      <c r="Y135" s="125">
        <f t="array" ref="Y135">W135+X135</f>
        <v/>
      </c>
      <c r="Z135" s="125">
        <f t="array" ref="Z135">G135-Y135</f>
        <v/>
      </c>
      <c r="AA135" s="121">
        <f t="array" ref="AA135">ROUND(W135*H135,2)</f>
        <v/>
      </c>
      <c r="AB135" s="127">
        <f t="array" ref="AB135">ROUND(X135*H135,2)</f>
        <v/>
      </c>
      <c r="AC135" s="121">
        <f t="array" ref="AC135">ROUND(AA135+AB135,2)</f>
        <v/>
      </c>
      <c r="AD135" s="127">
        <f t="array" ref="AD135">ROUND((G135*H135)-AC135,2)</f>
        <v/>
      </c>
      <c r="AE135" s="54">
        <f t="array" ref="AE135">_xlfn.IFERROR(ROUND(AC135/(G135*H135),2),0)</f>
        <v/>
      </c>
      <c r="AF135" s="7" t="n"/>
      <c r="AG135" s="7" t="n"/>
      <c r="AH135" s="7" t="n"/>
      <c r="AI135" s="7" t="n"/>
      <c r="AJ135" s="7" t="n"/>
      <c r="AK135" s="7" t="n"/>
      <c r="AL135" s="7" t="n"/>
    </row>
    <row r="136" ht="133.2" customHeight="1" s="104">
      <c r="A136" s="44" t="inlineStr">
        <is>
          <t>3.33</t>
        </is>
      </c>
      <c r="B136" s="44" t="inlineStr">
        <is>
          <t>CABO MULTIPLEXADO DE ALUMÍNIO, ISOLADO EM XLPE, 0,6/1KV, 1X25+25MM2</t>
        </is>
      </c>
      <c r="C136" s="44" t="inlineStr">
        <is>
          <t>M</t>
        </is>
      </c>
      <c r="D136" s="45" t="n">
        <v>1000</v>
      </c>
      <c r="E136" s="45" t="n"/>
      <c r="F136" s="45" t="n">
        <v>500</v>
      </c>
      <c r="G136" s="45">
        <f t="array" ref="G136">SUM(D136:F136)</f>
        <v/>
      </c>
      <c r="H136" s="121">
        <f t="array" ref="H136">VLOOKUP(A136,#REF!,5,0)</f>
        <v/>
      </c>
      <c r="I136" s="122" t="n">
        <v>0</v>
      </c>
      <c r="J136" s="123" t="n">
        <v>0</v>
      </c>
      <c r="K136" s="124" t="n">
        <v>0</v>
      </c>
      <c r="L136" s="123" t="n">
        <v>0</v>
      </c>
      <c r="M136" s="124" t="n">
        <v>0</v>
      </c>
      <c r="N136" s="124" t="n">
        <v>0</v>
      </c>
      <c r="O136" s="124" t="n">
        <v>0</v>
      </c>
      <c r="P136" s="124" t="n">
        <v>0</v>
      </c>
      <c r="Q136" s="124" t="n">
        <v>1500</v>
      </c>
      <c r="R136" s="124" t="n">
        <v>0</v>
      </c>
      <c r="S136" s="124" t="n">
        <v>0</v>
      </c>
      <c r="T136" s="124" t="n">
        <v>0</v>
      </c>
      <c r="U136" s="124" t="n"/>
      <c r="V136" s="124" t="n"/>
      <c r="W136" s="125">
        <f t="array" ref="W136">SUM(I136:V136)</f>
        <v/>
      </c>
      <c r="X136" s="126" t="n">
        <v>0</v>
      </c>
      <c r="Y136" s="125">
        <f t="array" ref="Y136">W136+X136</f>
        <v/>
      </c>
      <c r="Z136" s="125">
        <f t="array" ref="Z136">G136-Y136</f>
        <v/>
      </c>
      <c r="AA136" s="121">
        <f t="array" ref="AA136">ROUND(W136*H136,2)</f>
        <v/>
      </c>
      <c r="AB136" s="127">
        <f t="array" ref="AB136">ROUND(X136*H136,2)</f>
        <v/>
      </c>
      <c r="AC136" s="121">
        <f t="array" ref="AC136">ROUND(AA136+AB136,2)</f>
        <v/>
      </c>
      <c r="AD136" s="127">
        <f t="array" ref="AD136">ROUND((G136*H136)-AC136,2)</f>
        <v/>
      </c>
      <c r="AE136" s="54">
        <f t="array" ref="AE136">_xlfn.IFERROR(ROUND(AC136/(G136*H136),2),0)</f>
        <v/>
      </c>
      <c r="AF136" s="7" t="n"/>
      <c r="AG136" s="7" t="n"/>
      <c r="AH136" s="7" t="n"/>
      <c r="AI136" s="7" t="n"/>
      <c r="AJ136" s="7" t="n"/>
      <c r="AK136" s="7" t="n"/>
      <c r="AL136" s="7" t="n"/>
    </row>
    <row r="137" ht="133.2" customHeight="1" s="104">
      <c r="A137" s="44" t="inlineStr">
        <is>
          <t>3.34</t>
        </is>
      </c>
      <c r="B137" s="44" t="inlineStr">
        <is>
          <t>CABO MULTIPLEXADO DE ALUMÍNIO, ISOLADO EM XLPE, 0,6/1KV, 3X25+25MM2</t>
        </is>
      </c>
      <c r="C137" s="44" t="inlineStr">
        <is>
          <t>M</t>
        </is>
      </c>
      <c r="D137" s="45" t="n">
        <v>100</v>
      </c>
      <c r="E137" s="45" t="n"/>
      <c r="F137" s="45" t="n">
        <v>50</v>
      </c>
      <c r="G137" s="45">
        <f t="array" ref="G137">SUM(D137:F137)</f>
        <v/>
      </c>
      <c r="H137" s="121">
        <f t="array" ref="H137">VLOOKUP(A137,#REF!,5,0)</f>
        <v/>
      </c>
      <c r="I137" s="122" t="n">
        <v>0</v>
      </c>
      <c r="J137" s="123" t="n">
        <v>0</v>
      </c>
      <c r="K137" s="124" t="n">
        <v>0</v>
      </c>
      <c r="L137" s="123" t="n">
        <v>0</v>
      </c>
      <c r="M137" s="124" t="n">
        <v>150</v>
      </c>
      <c r="N137" s="124" t="n">
        <v>0</v>
      </c>
      <c r="O137" s="124" t="n">
        <v>0</v>
      </c>
      <c r="P137" s="124" t="n">
        <v>0</v>
      </c>
      <c r="Q137" s="124" t="n">
        <v>0</v>
      </c>
      <c r="R137" s="124" t="n">
        <v>0</v>
      </c>
      <c r="S137" s="124" t="n">
        <v>0</v>
      </c>
      <c r="T137" s="124" t="n">
        <v>0</v>
      </c>
      <c r="U137" s="124" t="n"/>
      <c r="V137" s="124" t="n"/>
      <c r="W137" s="125">
        <f t="array" ref="W137">SUM(I137:V137)</f>
        <v/>
      </c>
      <c r="X137" s="126" t="n">
        <v>0</v>
      </c>
      <c r="Y137" s="125">
        <f t="array" ref="Y137">W137+X137</f>
        <v/>
      </c>
      <c r="Z137" s="125">
        <f t="array" ref="Z137">G137-Y137</f>
        <v/>
      </c>
      <c r="AA137" s="121">
        <f t="array" ref="AA137">ROUND(W137*H137,2)</f>
        <v/>
      </c>
      <c r="AB137" s="127">
        <f t="array" ref="AB137">ROUND(X137*H137,2)</f>
        <v/>
      </c>
      <c r="AC137" s="121">
        <f t="array" ref="AC137">ROUND(AA137+AB137,2)</f>
        <v/>
      </c>
      <c r="AD137" s="127">
        <f t="array" ref="AD137">ROUND((G137*H137)-AC137,2)</f>
        <v/>
      </c>
      <c r="AE137" s="54">
        <f t="array" ref="AE137">_xlfn.IFERROR(ROUND(AC137/(G137*H137),2),0)</f>
        <v/>
      </c>
      <c r="AF137" s="7" t="n"/>
      <c r="AG137" s="7" t="n"/>
      <c r="AH137" s="7" t="n"/>
      <c r="AI137" s="7" t="n"/>
      <c r="AJ137" s="7" t="n"/>
      <c r="AK137" s="7" t="n"/>
      <c r="AL137" s="7" t="n"/>
    </row>
    <row r="138" ht="133.2" customHeight="1" s="104">
      <c r="A138" s="44" t="inlineStr">
        <is>
          <t>3.35</t>
        </is>
      </c>
      <c r="B138" s="44" t="inlineStr">
        <is>
          <t>CABO MULTIPLEXADO DE ALUMÍNIO, ISOLADO EM XLPE, 0,6/1KV, 3X50+50MM2</t>
        </is>
      </c>
      <c r="C138" s="44" t="inlineStr">
        <is>
          <t>M</t>
        </is>
      </c>
      <c r="D138" s="45" t="n">
        <v>100</v>
      </c>
      <c r="E138" s="45" t="n"/>
      <c r="F138" s="45" t="n"/>
      <c r="G138" s="45">
        <f t="array" ref="G138">SUM(D138:F138)</f>
        <v/>
      </c>
      <c r="H138" s="121">
        <f t="array" ref="H138">VLOOKUP(A138,#REF!,5,0)</f>
        <v/>
      </c>
      <c r="I138" s="122" t="n">
        <v>0</v>
      </c>
      <c r="J138" s="123" t="n">
        <v>0</v>
      </c>
      <c r="K138" s="124" t="n">
        <v>0</v>
      </c>
      <c r="L138" s="123" t="n">
        <v>0</v>
      </c>
      <c r="M138" s="124" t="n">
        <v>0</v>
      </c>
      <c r="N138" s="124" t="n">
        <v>0</v>
      </c>
      <c r="O138" s="124" t="n">
        <v>0</v>
      </c>
      <c r="P138" s="124" t="n">
        <v>0</v>
      </c>
      <c r="Q138" s="124" t="n">
        <v>0</v>
      </c>
      <c r="R138" s="124" t="n">
        <v>0</v>
      </c>
      <c r="S138" s="124" t="n">
        <v>0</v>
      </c>
      <c r="T138" s="124" t="n">
        <v>0</v>
      </c>
      <c r="U138" s="124" t="n"/>
      <c r="V138" s="124" t="n"/>
      <c r="W138" s="125">
        <f t="array" ref="W138">SUM(I138:V138)</f>
        <v/>
      </c>
      <c r="X138" s="126" t="n">
        <v>0</v>
      </c>
      <c r="Y138" s="125">
        <f t="array" ref="Y138">W138+X138</f>
        <v/>
      </c>
      <c r="Z138" s="125">
        <f t="array" ref="Z138">G138-Y138</f>
        <v/>
      </c>
      <c r="AA138" s="121">
        <f t="array" ref="AA138">ROUND(W138*H138,2)</f>
        <v/>
      </c>
      <c r="AB138" s="127">
        <f t="array" ref="AB138">ROUND(X138*H138,2)</f>
        <v/>
      </c>
      <c r="AC138" s="121">
        <f t="array" ref="AC138">ROUND(AA138+AB138,2)</f>
        <v/>
      </c>
      <c r="AD138" s="127">
        <f t="array" ref="AD138">ROUND((G138*H138)-AC138,2)</f>
        <v/>
      </c>
      <c r="AE138" s="54">
        <f t="array" ref="AE138">_xlfn.IFERROR(ROUND(AC138/(G138*H138),2),0)</f>
        <v/>
      </c>
      <c r="AF138" s="7" t="n"/>
      <c r="AG138" s="7" t="n"/>
      <c r="AH138" s="7" t="n"/>
      <c r="AI138" s="7" t="n"/>
      <c r="AJ138" s="7" t="n"/>
      <c r="AK138" s="7" t="n"/>
      <c r="AL138" s="7" t="n"/>
    </row>
    <row r="139" ht="133.2" customHeight="1" s="104">
      <c r="A139" s="44" t="inlineStr">
        <is>
          <t>3.36</t>
        </is>
      </c>
      <c r="B139" s="44" t="inlineStr">
        <is>
          <t>CABO MULTIPLEXADO DE ALUMÍNIO, ISOLADO EM XLPE, 0,6/1KV, 1X16+16MM2</t>
        </is>
      </c>
      <c r="C139" s="44" t="inlineStr">
        <is>
          <t>M</t>
        </is>
      </c>
      <c r="D139" s="45" t="n">
        <v>2500</v>
      </c>
      <c r="E139" s="45" t="n">
        <v>4000</v>
      </c>
      <c r="F139" s="45" t="n">
        <v>3000</v>
      </c>
      <c r="G139" s="45">
        <f t="array" ref="G139">SUM(D139:F139)</f>
        <v/>
      </c>
      <c r="H139" s="121">
        <f t="array" ref="H139">VLOOKUP(A139,#REF!,5,0)</f>
        <v/>
      </c>
      <c r="I139" s="122" t="n">
        <v>0</v>
      </c>
      <c r="J139" s="123" t="n">
        <v>5480</v>
      </c>
      <c r="K139" s="124" t="n">
        <v>1559</v>
      </c>
      <c r="L139" s="123" t="n">
        <v>1750</v>
      </c>
      <c r="M139" s="124" t="n">
        <v>699</v>
      </c>
      <c r="N139" s="124" t="n">
        <v>12</v>
      </c>
      <c r="O139" s="124" t="n">
        <v>0</v>
      </c>
      <c r="P139" s="124" t="n">
        <v>0</v>
      </c>
      <c r="Q139" s="124" t="n">
        <v>0</v>
      </c>
      <c r="R139" s="124" t="n">
        <v>0</v>
      </c>
      <c r="S139" s="124" t="n">
        <v>0</v>
      </c>
      <c r="T139" s="124" t="n">
        <v>0</v>
      </c>
      <c r="U139" s="124" t="n"/>
      <c r="V139" s="124" t="n"/>
      <c r="W139" s="125">
        <f t="array" ref="W139">SUM(I139:V139)</f>
        <v/>
      </c>
      <c r="X139" s="126" t="n">
        <v>0</v>
      </c>
      <c r="Y139" s="125">
        <f t="array" ref="Y139">W139+X139</f>
        <v/>
      </c>
      <c r="Z139" s="125">
        <f t="array" ref="Z139">G139-Y139</f>
        <v/>
      </c>
      <c r="AA139" s="121">
        <f t="array" ref="AA139">ROUND(W139*H139,2)</f>
        <v/>
      </c>
      <c r="AB139" s="127">
        <f t="array" ref="AB139">ROUND(X139*H139,2)</f>
        <v/>
      </c>
      <c r="AC139" s="121">
        <f t="array" ref="AC139">ROUND(AA139+AB139,2)</f>
        <v/>
      </c>
      <c r="AD139" s="127">
        <f t="array" ref="AD139">ROUND((G139*H139)-AC139,2)</f>
        <v/>
      </c>
      <c r="AE139" s="54">
        <f t="array" ref="AE139">_xlfn.IFERROR(ROUND(AC139/(G139*H139),2),0)</f>
        <v/>
      </c>
      <c r="AF139" s="7" t="n"/>
      <c r="AG139" s="7" t="n"/>
      <c r="AH139" s="7" t="n"/>
      <c r="AI139" s="7" t="n"/>
      <c r="AJ139" s="7" t="n"/>
      <c r="AK139" s="7" t="n"/>
      <c r="AL139" s="7" t="n"/>
    </row>
    <row r="140" ht="133.2" customHeight="1" s="104">
      <c r="A140" s="44" t="inlineStr">
        <is>
          <t>3.37</t>
        </is>
      </c>
      <c r="B140" s="44" t="inlineStr">
        <is>
          <t>CAIXA DE CONCRETO PRÉ-FABRICADA, DIMENSÕES DE 40X40X40CM, COM TAMPA DE CONCRETO</t>
        </is>
      </c>
      <c r="C140" s="44" t="inlineStr">
        <is>
          <t>PÇ</t>
        </is>
      </c>
      <c r="D140" s="45" t="n">
        <v>200</v>
      </c>
      <c r="E140" s="45" t="n"/>
      <c r="F140" s="45" t="n"/>
      <c r="G140" s="45">
        <f t="array" ref="G140">SUM(D140:F140)</f>
        <v/>
      </c>
      <c r="H140" s="121">
        <f t="array" ref="H140">VLOOKUP(A140,#REF!,5,0)</f>
        <v/>
      </c>
      <c r="I140" s="122" t="n">
        <v>0</v>
      </c>
      <c r="J140" s="123" t="n">
        <v>1</v>
      </c>
      <c r="K140" s="124" t="n">
        <v>7</v>
      </c>
      <c r="L140" s="123" t="n">
        <v>0</v>
      </c>
      <c r="M140" s="124" t="n">
        <v>0</v>
      </c>
      <c r="N140" s="124" t="n">
        <v>11</v>
      </c>
      <c r="O140" s="124" t="n">
        <v>0</v>
      </c>
      <c r="P140" s="124" t="n">
        <v>0</v>
      </c>
      <c r="Q140" s="124" t="n">
        <v>17</v>
      </c>
      <c r="R140" s="124" t="n">
        <v>0</v>
      </c>
      <c r="S140" s="124" t="n">
        <v>0</v>
      </c>
      <c r="T140" s="124" t="n">
        <v>0</v>
      </c>
      <c r="U140" s="124" t="n"/>
      <c r="V140" s="124" t="n"/>
      <c r="W140" s="125">
        <f t="array" ref="W140">SUM(I140:V140)</f>
        <v/>
      </c>
      <c r="X140" s="126" t="n">
        <v>0</v>
      </c>
      <c r="Y140" s="125">
        <f t="array" ref="Y140">W140+X140</f>
        <v/>
      </c>
      <c r="Z140" s="125">
        <f t="array" ref="Z140">G140-Y140</f>
        <v/>
      </c>
      <c r="AA140" s="121">
        <f t="array" ref="AA140">ROUND(W140*H140,2)</f>
        <v/>
      </c>
      <c r="AB140" s="127">
        <f t="array" ref="AB140">ROUND(X140*H140,2)</f>
        <v/>
      </c>
      <c r="AC140" s="121">
        <f t="array" ref="AC140">ROUND(AA140+AB140,2)</f>
        <v/>
      </c>
      <c r="AD140" s="127">
        <f t="array" ref="AD140">ROUND((G140*H140)-AC140,2)</f>
        <v/>
      </c>
      <c r="AE140" s="54">
        <f t="array" ref="AE140">_xlfn.IFERROR(ROUND(AC140/(G140*H140),2),0)</f>
        <v/>
      </c>
      <c r="AF140" s="7" t="n"/>
      <c r="AG140" s="7" t="n"/>
      <c r="AH140" s="7" t="n"/>
      <c r="AI140" s="7" t="n"/>
      <c r="AJ140" s="7" t="n"/>
      <c r="AK140" s="7" t="n"/>
      <c r="AL140" s="7" t="n"/>
    </row>
    <row r="141" ht="199.8" customHeight="1" s="104">
      <c r="A141" s="44" t="inlineStr">
        <is>
          <t>3.38</t>
        </is>
      </c>
      <c r="B141" s="44" t="inlineStr">
        <is>
          <t>CAIXA PARA ENTRADA DE ENERGIA EM BT, PRÉ-FABRICADA EM CONCRETO ARMADO, DIMENSÕES 65X41X70CM, SEM A TAMPA DE FERRO FUNDIDO</t>
        </is>
      </c>
      <c r="C141" s="44" t="inlineStr">
        <is>
          <t>PÇ</t>
        </is>
      </c>
      <c r="D141" s="45" t="n">
        <v>15</v>
      </c>
      <c r="E141" s="45" t="n"/>
      <c r="F141" s="45" t="n"/>
      <c r="G141" s="45">
        <f t="array" ref="G141">SUM(D141:F141)</f>
        <v/>
      </c>
      <c r="H141" s="121">
        <f t="array" ref="H141">VLOOKUP(A141,#REF!,5,0)</f>
        <v/>
      </c>
      <c r="I141" s="122" t="n">
        <v>0</v>
      </c>
      <c r="J141" s="123" t="n">
        <v>9</v>
      </c>
      <c r="K141" s="124" t="n">
        <v>0</v>
      </c>
      <c r="L141" s="123" t="n">
        <v>0</v>
      </c>
      <c r="M141" s="124" t="n">
        <v>0</v>
      </c>
      <c r="N141" s="124" t="n">
        <v>0</v>
      </c>
      <c r="O141" s="124" t="n">
        <v>0</v>
      </c>
      <c r="P141" s="124" t="n">
        <v>0</v>
      </c>
      <c r="Q141" s="124" t="n">
        <v>0</v>
      </c>
      <c r="R141" s="124" t="n">
        <v>0</v>
      </c>
      <c r="S141" s="124" t="n">
        <v>0</v>
      </c>
      <c r="T141" s="124" t="n">
        <v>0</v>
      </c>
      <c r="U141" s="124" t="n"/>
      <c r="V141" s="124" t="n"/>
      <c r="W141" s="125">
        <f t="array" ref="W141">SUM(I141:V141)</f>
        <v/>
      </c>
      <c r="X141" s="126" t="n">
        <v>0</v>
      </c>
      <c r="Y141" s="125">
        <f t="array" ref="Y141">W141+X141</f>
        <v/>
      </c>
      <c r="Z141" s="125">
        <f t="array" ref="Z141">G141-Y141</f>
        <v/>
      </c>
      <c r="AA141" s="121">
        <f t="array" ref="AA141">ROUND(W141*H141,2)</f>
        <v/>
      </c>
      <c r="AB141" s="127">
        <f t="array" ref="AB141">ROUND(X141*H141,2)</f>
        <v/>
      </c>
      <c r="AC141" s="121">
        <f t="array" ref="AC141">ROUND(AA141+AB141,2)</f>
        <v/>
      </c>
      <c r="AD141" s="127">
        <f t="array" ref="AD141">ROUND((G141*H141)-AC141,2)</f>
        <v/>
      </c>
      <c r="AE141" s="54">
        <f t="array" ref="AE141">_xlfn.IFERROR(ROUND(AC141/(G141*H141),2),0)</f>
        <v/>
      </c>
      <c r="AF141" s="7" t="n"/>
      <c r="AG141" s="7" t="n"/>
      <c r="AH141" s="7" t="n"/>
      <c r="AI141" s="7" t="n"/>
      <c r="AJ141" s="7" t="n"/>
      <c r="AK141" s="7" t="n"/>
      <c r="AL141" s="7" t="n"/>
    </row>
    <row r="142" ht="133.2" customHeight="1" s="104">
      <c r="A142" s="44" t="inlineStr">
        <is>
          <t>3.39</t>
        </is>
      </c>
      <c r="B142" s="44" t="inlineStr">
        <is>
          <t>CHAVE PARA COMANDO DE IP, 160/240V, 1X50A, COM BASE PARA RELÉ FOTOELÉTRICO</t>
        </is>
      </c>
      <c r="C142" s="44" t="inlineStr">
        <is>
          <t>PÇ</t>
        </is>
      </c>
      <c r="D142" s="45" t="n">
        <v>10</v>
      </c>
      <c r="E142" s="45" t="n">
        <v>50</v>
      </c>
      <c r="F142" s="45" t="n"/>
      <c r="G142" s="45">
        <f t="array" ref="G142">SUM(D142:F142)</f>
        <v/>
      </c>
      <c r="H142" s="121">
        <f t="array" ref="H142">VLOOKUP(A142,#REF!,5,0)</f>
        <v/>
      </c>
      <c r="I142" s="122" t="n">
        <v>0</v>
      </c>
      <c r="J142" s="123" t="n">
        <v>1</v>
      </c>
      <c r="K142" s="124" t="n">
        <v>3</v>
      </c>
      <c r="L142" s="123" t="n">
        <v>3</v>
      </c>
      <c r="M142" s="124" t="n">
        <v>2</v>
      </c>
      <c r="N142" s="124" t="n">
        <v>4</v>
      </c>
      <c r="O142" s="124" t="n">
        <v>2</v>
      </c>
      <c r="P142" s="124" t="n">
        <v>3</v>
      </c>
      <c r="Q142" s="124" t="n">
        <v>6</v>
      </c>
      <c r="R142" s="124" t="n">
        <v>4</v>
      </c>
      <c r="S142" s="124" t="n">
        <v>0</v>
      </c>
      <c r="T142" s="124" t="n">
        <v>1</v>
      </c>
      <c r="U142" s="124" t="n"/>
      <c r="V142" s="124" t="n"/>
      <c r="W142" s="125">
        <f t="array" ref="W142">SUM(I142:V142)</f>
        <v/>
      </c>
      <c r="X142" s="126" t="n">
        <v>0</v>
      </c>
      <c r="Y142" s="125">
        <f t="array" ref="Y142">W142+X142</f>
        <v/>
      </c>
      <c r="Z142" s="125">
        <f t="array" ref="Z142">G142-Y142</f>
        <v/>
      </c>
      <c r="AA142" s="121">
        <f t="array" ref="AA142">ROUND(W142*H142,2)</f>
        <v/>
      </c>
      <c r="AB142" s="127">
        <f t="array" ref="AB142">ROUND(X142*H142,2)</f>
        <v/>
      </c>
      <c r="AC142" s="121">
        <f t="array" ref="AC142">ROUND(AA142+AB142,2)</f>
        <v/>
      </c>
      <c r="AD142" s="127">
        <f t="array" ref="AD142">ROUND((G142*H142)-AC142,2)</f>
        <v/>
      </c>
      <c r="AE142" s="54">
        <f t="array" ref="AE142">_xlfn.IFERROR(ROUND(AC142/(G142*H142),2),0)</f>
        <v/>
      </c>
      <c r="AF142" s="7" t="n"/>
      <c r="AG142" s="7" t="n"/>
      <c r="AH142" s="7" t="n"/>
      <c r="AI142" s="7" t="n"/>
      <c r="AJ142" s="7" t="n"/>
      <c r="AK142" s="7" t="n"/>
      <c r="AL142" s="7" t="n"/>
    </row>
    <row r="143" ht="66.59999999999999" customHeight="1" s="104">
      <c r="A143" s="44" t="inlineStr">
        <is>
          <t>3.40</t>
        </is>
      </c>
      <c r="B143" s="44" t="inlineStr">
        <is>
          <t>CINTA PARA POSTE, SEÇÃO CIRCULAR, Ø 170MM</t>
        </is>
      </c>
      <c r="C143" s="44" t="inlineStr">
        <is>
          <t>PÇ</t>
        </is>
      </c>
      <c r="D143" s="45" t="n">
        <v>2</v>
      </c>
      <c r="E143" s="45" t="n"/>
      <c r="F143" s="45" t="n"/>
      <c r="G143" s="45">
        <f t="array" ref="G143">SUM(D143:F143)</f>
        <v/>
      </c>
      <c r="H143" s="121">
        <f t="array" ref="H143">VLOOKUP(A143,#REF!,5,0)</f>
        <v/>
      </c>
      <c r="I143" s="122" t="n">
        <v>0</v>
      </c>
      <c r="J143" s="123" t="n">
        <v>0</v>
      </c>
      <c r="K143" s="124" t="n">
        <v>0</v>
      </c>
      <c r="L143" s="123" t="n">
        <v>0</v>
      </c>
      <c r="M143" s="124" t="n">
        <v>0</v>
      </c>
      <c r="N143" s="124" t="n">
        <v>0</v>
      </c>
      <c r="O143" s="124" t="n">
        <v>0</v>
      </c>
      <c r="P143" s="124" t="n">
        <v>0</v>
      </c>
      <c r="Q143" s="124" t="n">
        <v>0</v>
      </c>
      <c r="R143" s="124" t="n">
        <v>0</v>
      </c>
      <c r="S143" s="124" t="n">
        <v>0</v>
      </c>
      <c r="T143" s="124" t="n">
        <v>0</v>
      </c>
      <c r="U143" s="124" t="n"/>
      <c r="V143" s="124" t="n"/>
      <c r="W143" s="125">
        <f t="array" ref="W143">SUM(I143:V143)</f>
        <v/>
      </c>
      <c r="X143" s="126" t="n">
        <v>0</v>
      </c>
      <c r="Y143" s="125">
        <f t="array" ref="Y143">W143+X143</f>
        <v/>
      </c>
      <c r="Z143" s="125">
        <f t="array" ref="Z143">G143-Y143</f>
        <v/>
      </c>
      <c r="AA143" s="121">
        <f t="array" ref="AA143">ROUND(W143*H143,2)</f>
        <v/>
      </c>
      <c r="AB143" s="127">
        <f t="array" ref="AB143">ROUND(X143*H143,2)</f>
        <v/>
      </c>
      <c r="AC143" s="121">
        <f t="array" ref="AC143">ROUND(AA143+AB143,2)</f>
        <v/>
      </c>
      <c r="AD143" s="127">
        <f t="array" ref="AD143">ROUND((G143*H143)-AC143,2)</f>
        <v/>
      </c>
      <c r="AE143" s="54">
        <f t="array" ref="AE143">_xlfn.IFERROR(ROUND(AC143/(G143*H143),2),0)</f>
        <v/>
      </c>
      <c r="AF143" s="7" t="n"/>
      <c r="AG143" s="7" t="n"/>
      <c r="AH143" s="7" t="n"/>
      <c r="AI143" s="7" t="n"/>
      <c r="AJ143" s="7" t="n"/>
      <c r="AK143" s="7" t="n"/>
      <c r="AL143" s="7" t="n"/>
    </row>
    <row r="144" ht="66.59999999999999" customHeight="1" s="104">
      <c r="A144" s="44" t="inlineStr">
        <is>
          <t>3.41</t>
        </is>
      </c>
      <c r="B144" s="44" t="inlineStr">
        <is>
          <t>CINTA PARA POSTE, SEÇÃO CIRCULAR, Ø 180MM</t>
        </is>
      </c>
      <c r="C144" s="44" t="inlineStr">
        <is>
          <t>PÇ</t>
        </is>
      </c>
      <c r="D144" s="45" t="n">
        <v>2</v>
      </c>
      <c r="E144" s="45" t="n"/>
      <c r="F144" s="45" t="n"/>
      <c r="G144" s="45">
        <f t="array" ref="G144">SUM(D144:F144)</f>
        <v/>
      </c>
      <c r="H144" s="121">
        <f t="array" ref="H144">VLOOKUP(A144,#REF!,5,0)</f>
        <v/>
      </c>
      <c r="I144" s="122" t="n">
        <v>0</v>
      </c>
      <c r="J144" s="123" t="n">
        <v>0</v>
      </c>
      <c r="K144" s="124" t="n">
        <v>0</v>
      </c>
      <c r="L144" s="123" t="n">
        <v>0</v>
      </c>
      <c r="M144" s="124" t="n">
        <v>0</v>
      </c>
      <c r="N144" s="124" t="n">
        <v>0</v>
      </c>
      <c r="O144" s="124" t="n">
        <v>0</v>
      </c>
      <c r="P144" s="124" t="n">
        <v>0</v>
      </c>
      <c r="Q144" s="124" t="n">
        <v>0</v>
      </c>
      <c r="R144" s="124" t="n">
        <v>0</v>
      </c>
      <c r="S144" s="124" t="n">
        <v>0</v>
      </c>
      <c r="T144" s="124" t="n">
        <v>0</v>
      </c>
      <c r="U144" s="124" t="n"/>
      <c r="V144" s="124" t="n"/>
      <c r="W144" s="125">
        <f t="array" ref="W144">SUM(I144:V144)</f>
        <v/>
      </c>
      <c r="X144" s="126" t="n">
        <v>0</v>
      </c>
      <c r="Y144" s="125">
        <f t="array" ref="Y144">W144+X144</f>
        <v/>
      </c>
      <c r="Z144" s="125">
        <f t="array" ref="Z144">G144-Y144</f>
        <v/>
      </c>
      <c r="AA144" s="121">
        <f t="array" ref="AA144">ROUND(W144*H144,2)</f>
        <v/>
      </c>
      <c r="AB144" s="127">
        <f t="array" ref="AB144">ROUND(X144*H144,2)</f>
        <v/>
      </c>
      <c r="AC144" s="121">
        <f t="array" ref="AC144">ROUND(AA144+AB144,2)</f>
        <v/>
      </c>
      <c r="AD144" s="127">
        <f t="array" ref="AD144">ROUND((G144*H144)-AC144,2)</f>
        <v/>
      </c>
      <c r="AE144" s="54">
        <f t="array" ref="AE144">_xlfn.IFERROR(ROUND(AC144/(G144*H144),2),0)</f>
        <v/>
      </c>
      <c r="AF144" s="7" t="n"/>
      <c r="AG144" s="7" t="n"/>
      <c r="AH144" s="7" t="n"/>
      <c r="AI144" s="7" t="n"/>
      <c r="AJ144" s="7" t="n"/>
      <c r="AK144" s="7" t="n"/>
      <c r="AL144" s="7" t="n"/>
    </row>
    <row r="145" ht="66.59999999999999" customHeight="1" s="104">
      <c r="A145" s="44" t="inlineStr">
        <is>
          <t>3.42</t>
        </is>
      </c>
      <c r="B145" s="44" t="inlineStr">
        <is>
          <t>CINTA PARA POSTE, SEÇÃO CIRCULAR, Ø 190MM</t>
        </is>
      </c>
      <c r="C145" s="44" t="inlineStr">
        <is>
          <t>PÇ</t>
        </is>
      </c>
      <c r="D145" s="45" t="n">
        <v>2</v>
      </c>
      <c r="E145" s="45" t="n"/>
      <c r="F145" s="45" t="n"/>
      <c r="G145" s="45">
        <f t="array" ref="G145">SUM(D145:F145)</f>
        <v/>
      </c>
      <c r="H145" s="121">
        <f t="array" ref="H145">VLOOKUP(A145,#REF!,5,0)</f>
        <v/>
      </c>
      <c r="I145" s="122" t="n">
        <v>0</v>
      </c>
      <c r="J145" s="123" t="n">
        <v>0</v>
      </c>
      <c r="K145" s="124" t="n">
        <v>0</v>
      </c>
      <c r="L145" s="123" t="n">
        <v>0</v>
      </c>
      <c r="M145" s="124" t="n">
        <v>0</v>
      </c>
      <c r="N145" s="124" t="n">
        <v>0</v>
      </c>
      <c r="O145" s="124" t="n">
        <v>0</v>
      </c>
      <c r="P145" s="124" t="n">
        <v>0</v>
      </c>
      <c r="Q145" s="124" t="n">
        <v>0</v>
      </c>
      <c r="R145" s="124" t="n">
        <v>0</v>
      </c>
      <c r="S145" s="124" t="n">
        <v>0</v>
      </c>
      <c r="T145" s="124" t="n">
        <v>0</v>
      </c>
      <c r="U145" s="124" t="n"/>
      <c r="V145" s="124" t="n"/>
      <c r="W145" s="125">
        <f t="array" ref="W145">SUM(I145:V145)</f>
        <v/>
      </c>
      <c r="X145" s="126" t="n">
        <v>0</v>
      </c>
      <c r="Y145" s="125">
        <f t="array" ref="Y145">W145+X145</f>
        <v/>
      </c>
      <c r="Z145" s="125">
        <f t="array" ref="Z145">G145-Y145</f>
        <v/>
      </c>
      <c r="AA145" s="121">
        <f t="array" ref="AA145">ROUND(W145*H145,2)</f>
        <v/>
      </c>
      <c r="AB145" s="127">
        <f t="array" ref="AB145">ROUND(X145*H145,2)</f>
        <v/>
      </c>
      <c r="AC145" s="121">
        <f t="array" ref="AC145">ROUND(AA145+AB145,2)</f>
        <v/>
      </c>
      <c r="AD145" s="127">
        <f t="array" ref="AD145">ROUND((G145*H145)-AC145,2)</f>
        <v/>
      </c>
      <c r="AE145" s="54">
        <f t="array" ref="AE145">_xlfn.IFERROR(ROUND(AC145/(G145*H145),2),0)</f>
        <v/>
      </c>
      <c r="AF145" s="7" t="n"/>
      <c r="AG145" s="7" t="n"/>
      <c r="AH145" s="7" t="n"/>
      <c r="AI145" s="7" t="n"/>
      <c r="AJ145" s="7" t="n"/>
      <c r="AK145" s="7" t="n"/>
      <c r="AL145" s="7" t="n"/>
    </row>
    <row r="146" ht="66.59999999999999" customHeight="1" s="104">
      <c r="A146" s="44" t="inlineStr">
        <is>
          <t>3.43</t>
        </is>
      </c>
      <c r="B146" s="44" t="inlineStr">
        <is>
          <t>CINTA PARA POSTE, SEÇÃO CIRCULAR, Ø 200MM</t>
        </is>
      </c>
      <c r="C146" s="44" t="inlineStr">
        <is>
          <t>PÇ</t>
        </is>
      </c>
      <c r="D146" s="45" t="n">
        <v>5</v>
      </c>
      <c r="E146" s="45" t="n"/>
      <c r="F146" s="45" t="n"/>
      <c r="G146" s="45">
        <f t="array" ref="G146">SUM(D146:F146)</f>
        <v/>
      </c>
      <c r="H146" s="121">
        <f t="array" ref="H146">VLOOKUP(A146,#REF!,5,0)</f>
        <v/>
      </c>
      <c r="I146" s="122" t="n">
        <v>0</v>
      </c>
      <c r="J146" s="123" t="n">
        <v>0</v>
      </c>
      <c r="K146" s="124" t="n">
        <v>0</v>
      </c>
      <c r="L146" s="123" t="n">
        <v>0</v>
      </c>
      <c r="M146" s="124" t="n">
        <v>0</v>
      </c>
      <c r="N146" s="124" t="n">
        <v>0</v>
      </c>
      <c r="O146" s="124" t="n">
        <v>0</v>
      </c>
      <c r="P146" s="124" t="n">
        <v>0</v>
      </c>
      <c r="Q146" s="124" t="n">
        <v>0</v>
      </c>
      <c r="R146" s="124" t="n">
        <v>0</v>
      </c>
      <c r="S146" s="124" t="n">
        <v>0</v>
      </c>
      <c r="T146" s="124" t="n">
        <v>0</v>
      </c>
      <c r="U146" s="124" t="n"/>
      <c r="V146" s="124" t="n"/>
      <c r="W146" s="125">
        <f t="array" ref="W146">SUM(I146:V146)</f>
        <v/>
      </c>
      <c r="X146" s="126" t="n">
        <v>0</v>
      </c>
      <c r="Y146" s="125">
        <f t="array" ref="Y146">W146+X146</f>
        <v/>
      </c>
      <c r="Z146" s="125">
        <f t="array" ref="Z146">G146-Y146</f>
        <v/>
      </c>
      <c r="AA146" s="121">
        <f t="array" ref="AA146">ROUND(W146*H146,2)</f>
        <v/>
      </c>
      <c r="AB146" s="127">
        <f t="array" ref="AB146">ROUND(X146*H146,2)</f>
        <v/>
      </c>
      <c r="AC146" s="121">
        <f t="array" ref="AC146">ROUND(AA146+AB146,2)</f>
        <v/>
      </c>
      <c r="AD146" s="127">
        <f t="array" ref="AD146">ROUND((G146*H146)-AC146,2)</f>
        <v/>
      </c>
      <c r="AE146" s="54">
        <f t="array" ref="AE146">_xlfn.IFERROR(ROUND(AC146/(G146*H146),2),0)</f>
        <v/>
      </c>
      <c r="AF146" s="7" t="n"/>
      <c r="AG146" s="7" t="n"/>
      <c r="AH146" s="7" t="n"/>
      <c r="AI146" s="7" t="n"/>
      <c r="AJ146" s="7" t="n"/>
      <c r="AK146" s="7" t="n"/>
      <c r="AL146" s="7" t="n"/>
    </row>
    <row r="147" ht="66.59999999999999" customHeight="1" s="104">
      <c r="A147" s="44" t="inlineStr">
        <is>
          <t>3.44</t>
        </is>
      </c>
      <c r="B147" s="44" t="inlineStr">
        <is>
          <t>CINTA PARA POSTE, SEÇÃO CIRCULAR, Ø 210MM</t>
        </is>
      </c>
      <c r="C147" s="44" t="inlineStr">
        <is>
          <t>PÇ</t>
        </is>
      </c>
      <c r="D147" s="45" t="n">
        <v>5</v>
      </c>
      <c r="E147" s="45" t="n"/>
      <c r="F147" s="45" t="n"/>
      <c r="G147" s="45">
        <f t="array" ref="G147">SUM(D147:F147)</f>
        <v/>
      </c>
      <c r="H147" s="121">
        <f t="array" ref="H147">VLOOKUP(A147,#REF!,5,0)</f>
        <v/>
      </c>
      <c r="I147" s="122" t="n">
        <v>0</v>
      </c>
      <c r="J147" s="123" t="n">
        <v>0</v>
      </c>
      <c r="K147" s="124" t="n">
        <v>0</v>
      </c>
      <c r="L147" s="123" t="n">
        <v>0</v>
      </c>
      <c r="M147" s="124" t="n">
        <v>0</v>
      </c>
      <c r="N147" s="124" t="n">
        <v>0</v>
      </c>
      <c r="O147" s="124" t="n">
        <v>0</v>
      </c>
      <c r="P147" s="124" t="n">
        <v>0</v>
      </c>
      <c r="Q147" s="124" t="n">
        <v>0</v>
      </c>
      <c r="R147" s="124" t="n">
        <v>0</v>
      </c>
      <c r="S147" s="124" t="n">
        <v>0</v>
      </c>
      <c r="T147" s="124" t="n">
        <v>0</v>
      </c>
      <c r="U147" s="124" t="n"/>
      <c r="V147" s="124" t="n"/>
      <c r="W147" s="125">
        <f t="array" ref="W147">SUM(I147:V147)</f>
        <v/>
      </c>
      <c r="X147" s="126" t="n">
        <v>0</v>
      </c>
      <c r="Y147" s="125">
        <f t="array" ref="Y147">W147+X147</f>
        <v/>
      </c>
      <c r="Z147" s="125">
        <f t="array" ref="Z147">G147-Y147</f>
        <v/>
      </c>
      <c r="AA147" s="121">
        <f t="array" ref="AA147">ROUND(W147*H147,2)</f>
        <v/>
      </c>
      <c r="AB147" s="127">
        <f t="array" ref="AB147">ROUND(X147*H147,2)</f>
        <v/>
      </c>
      <c r="AC147" s="121">
        <f t="array" ref="AC147">ROUND(AA147+AB147,2)</f>
        <v/>
      </c>
      <c r="AD147" s="127">
        <f t="array" ref="AD147">ROUND((G147*H147)-AC147,2)</f>
        <v/>
      </c>
      <c r="AE147" s="54">
        <f t="array" ref="AE147">_xlfn.IFERROR(ROUND(AC147/(G147*H147),2),0)</f>
        <v/>
      </c>
      <c r="AF147" s="7" t="n"/>
      <c r="AG147" s="7" t="n"/>
      <c r="AH147" s="7" t="n"/>
      <c r="AI147" s="7" t="n"/>
      <c r="AJ147" s="7" t="n"/>
      <c r="AK147" s="7" t="n"/>
      <c r="AL147" s="7" t="n"/>
    </row>
    <row r="148" ht="66.59999999999999" customHeight="1" s="104">
      <c r="A148" s="44" t="inlineStr">
        <is>
          <t>3.45</t>
        </is>
      </c>
      <c r="B148" s="44" t="inlineStr">
        <is>
          <t>CINTA PARA POSTE, SEÇÃO CIRCULAR, Ø 220MM</t>
        </is>
      </c>
      <c r="C148" s="44" t="inlineStr">
        <is>
          <t>PÇ</t>
        </is>
      </c>
      <c r="D148" s="45" t="n">
        <v>5</v>
      </c>
      <c r="E148" s="45" t="n"/>
      <c r="F148" s="45" t="n"/>
      <c r="G148" s="45">
        <f t="array" ref="G148">SUM(D148:F148)</f>
        <v/>
      </c>
      <c r="H148" s="121">
        <f t="array" ref="H148">VLOOKUP(A148,#REF!,5,0)</f>
        <v/>
      </c>
      <c r="I148" s="122" t="n">
        <v>0</v>
      </c>
      <c r="J148" s="123" t="n">
        <v>0</v>
      </c>
      <c r="K148" s="124" t="n">
        <v>0</v>
      </c>
      <c r="L148" s="123" t="n">
        <v>0</v>
      </c>
      <c r="M148" s="124" t="n">
        <v>0</v>
      </c>
      <c r="N148" s="124" t="n">
        <v>0</v>
      </c>
      <c r="O148" s="124" t="n">
        <v>0</v>
      </c>
      <c r="P148" s="124" t="n">
        <v>0</v>
      </c>
      <c r="Q148" s="124" t="n">
        <v>0</v>
      </c>
      <c r="R148" s="124" t="n">
        <v>0</v>
      </c>
      <c r="S148" s="124" t="n">
        <v>0</v>
      </c>
      <c r="T148" s="124" t="n">
        <v>0</v>
      </c>
      <c r="U148" s="124" t="n"/>
      <c r="V148" s="124" t="n"/>
      <c r="W148" s="125">
        <f t="array" ref="W148">SUM(I148:V148)</f>
        <v/>
      </c>
      <c r="X148" s="126" t="n">
        <v>0</v>
      </c>
      <c r="Y148" s="125">
        <f t="array" ref="Y148">W148+X148</f>
        <v/>
      </c>
      <c r="Z148" s="125">
        <f t="array" ref="Z148">G148-Y148</f>
        <v/>
      </c>
      <c r="AA148" s="121">
        <f t="array" ref="AA148">ROUND(W148*H148,2)</f>
        <v/>
      </c>
      <c r="AB148" s="127">
        <f t="array" ref="AB148">ROUND(X148*H148,2)</f>
        <v/>
      </c>
      <c r="AC148" s="121">
        <f t="array" ref="AC148">ROUND(AA148+AB148,2)</f>
        <v/>
      </c>
      <c r="AD148" s="127">
        <f t="array" ref="AD148">ROUND((G148*H148)-AC148,2)</f>
        <v/>
      </c>
      <c r="AE148" s="54">
        <f t="array" ref="AE148">_xlfn.IFERROR(ROUND(AC148/(G148*H148),2),0)</f>
        <v/>
      </c>
      <c r="AF148" s="7" t="n"/>
      <c r="AG148" s="7" t="n"/>
      <c r="AH148" s="7" t="n"/>
      <c r="AI148" s="7" t="n"/>
      <c r="AJ148" s="7" t="n"/>
      <c r="AK148" s="7" t="n"/>
      <c r="AL148" s="7" t="n"/>
    </row>
    <row r="149" ht="66.59999999999999" customHeight="1" s="104">
      <c r="A149" s="44" t="inlineStr">
        <is>
          <t>3.46</t>
        </is>
      </c>
      <c r="B149" s="44" t="inlineStr">
        <is>
          <t>CINTA PARA POSTE, SEÇÃO CIRCULAR, Ø 230MM</t>
        </is>
      </c>
      <c r="C149" s="44" t="inlineStr">
        <is>
          <t>PÇ</t>
        </is>
      </c>
      <c r="D149" s="45" t="n">
        <v>5</v>
      </c>
      <c r="E149" s="45" t="n"/>
      <c r="F149" s="45" t="n"/>
      <c r="G149" s="45">
        <f t="array" ref="G149">SUM(D149:F149)</f>
        <v/>
      </c>
      <c r="H149" s="121">
        <f t="array" ref="H149">VLOOKUP(A149,#REF!,5,0)</f>
        <v/>
      </c>
      <c r="I149" s="122" t="n">
        <v>0</v>
      </c>
      <c r="J149" s="123" t="n">
        <v>0</v>
      </c>
      <c r="K149" s="124" t="n">
        <v>0</v>
      </c>
      <c r="L149" s="123" t="n">
        <v>0</v>
      </c>
      <c r="M149" s="124" t="n">
        <v>0</v>
      </c>
      <c r="N149" s="124" t="n">
        <v>0</v>
      </c>
      <c r="O149" s="124" t="n">
        <v>0</v>
      </c>
      <c r="P149" s="124" t="n">
        <v>0</v>
      </c>
      <c r="Q149" s="124" t="n">
        <v>0</v>
      </c>
      <c r="R149" s="124" t="n">
        <v>0</v>
      </c>
      <c r="S149" s="124" t="n">
        <v>0</v>
      </c>
      <c r="T149" s="124" t="n">
        <v>0</v>
      </c>
      <c r="U149" s="124" t="n"/>
      <c r="V149" s="124" t="n"/>
      <c r="W149" s="125">
        <f t="array" ref="W149">SUM(I149:V149)</f>
        <v/>
      </c>
      <c r="X149" s="126" t="n">
        <v>0</v>
      </c>
      <c r="Y149" s="125">
        <f t="array" ref="Y149">W149+X149</f>
        <v/>
      </c>
      <c r="Z149" s="125">
        <f t="array" ref="Z149">G149-Y149</f>
        <v/>
      </c>
      <c r="AA149" s="121">
        <f t="array" ref="AA149">ROUND(W149*H149,2)</f>
        <v/>
      </c>
      <c r="AB149" s="127">
        <f t="array" ref="AB149">ROUND(X149*H149,2)</f>
        <v/>
      </c>
      <c r="AC149" s="121">
        <f t="array" ref="AC149">ROUND(AA149+AB149,2)</f>
        <v/>
      </c>
      <c r="AD149" s="127">
        <f t="array" ref="AD149">ROUND((G149*H149)-AC149,2)</f>
        <v/>
      </c>
      <c r="AE149" s="54">
        <f t="array" ref="AE149">_xlfn.IFERROR(ROUND(AC149/(G149*H149),2),0)</f>
        <v/>
      </c>
      <c r="AF149" s="7" t="n"/>
      <c r="AG149" s="7" t="n"/>
      <c r="AH149" s="7" t="n"/>
      <c r="AI149" s="7" t="n"/>
      <c r="AJ149" s="7" t="n"/>
      <c r="AK149" s="7" t="n"/>
      <c r="AL149" s="7" t="n"/>
    </row>
    <row r="150" ht="66.59999999999999" customHeight="1" s="104">
      <c r="A150" s="44" t="inlineStr">
        <is>
          <t>3.47</t>
        </is>
      </c>
      <c r="B150" s="44" t="inlineStr">
        <is>
          <t>CINTA PARA POSTE, SEÇÃO CIRCULAR, Ø 240MM</t>
        </is>
      </c>
      <c r="C150" s="44" t="inlineStr">
        <is>
          <t>PÇ</t>
        </is>
      </c>
      <c r="D150" s="45" t="n">
        <v>5</v>
      </c>
      <c r="E150" s="45" t="n"/>
      <c r="F150" s="45" t="n"/>
      <c r="G150" s="45">
        <f t="array" ref="G150">SUM(D150:F150)</f>
        <v/>
      </c>
      <c r="H150" s="121">
        <f t="array" ref="H150">VLOOKUP(A150,#REF!,5,0)</f>
        <v/>
      </c>
      <c r="I150" s="122" t="n">
        <v>0</v>
      </c>
      <c r="J150" s="123" t="n">
        <v>0</v>
      </c>
      <c r="K150" s="124" t="n">
        <v>0</v>
      </c>
      <c r="L150" s="123" t="n">
        <v>0</v>
      </c>
      <c r="M150" s="124" t="n">
        <v>0</v>
      </c>
      <c r="N150" s="124" t="n">
        <v>0</v>
      </c>
      <c r="O150" s="124" t="n">
        <v>0</v>
      </c>
      <c r="P150" s="124" t="n">
        <v>0</v>
      </c>
      <c r="Q150" s="124" t="n">
        <v>0</v>
      </c>
      <c r="R150" s="124" t="n">
        <v>0</v>
      </c>
      <c r="S150" s="124" t="n">
        <v>0</v>
      </c>
      <c r="T150" s="124" t="n">
        <v>0</v>
      </c>
      <c r="U150" s="124" t="n"/>
      <c r="V150" s="124" t="n"/>
      <c r="W150" s="125">
        <f t="array" ref="W150">SUM(I150:V150)</f>
        <v/>
      </c>
      <c r="X150" s="126" t="n">
        <v>0</v>
      </c>
      <c r="Y150" s="125">
        <f t="array" ref="Y150">W150+X150</f>
        <v/>
      </c>
      <c r="Z150" s="125">
        <f t="array" ref="Z150">G150-Y150</f>
        <v/>
      </c>
      <c r="AA150" s="121">
        <f t="array" ref="AA150">ROUND(W150*H150,2)</f>
        <v/>
      </c>
      <c r="AB150" s="127">
        <f t="array" ref="AB150">ROUND(X150*H150,2)</f>
        <v/>
      </c>
      <c r="AC150" s="121">
        <f t="array" ref="AC150">ROUND(AA150+AB150,2)</f>
        <v/>
      </c>
      <c r="AD150" s="127">
        <f t="array" ref="AD150">ROUND((G150*H150)-AC150,2)</f>
        <v/>
      </c>
      <c r="AE150" s="54">
        <f t="array" ref="AE150">_xlfn.IFERROR(ROUND(AC150/(G150*H150),2),0)</f>
        <v/>
      </c>
      <c r="AF150" s="7" t="n"/>
      <c r="AG150" s="7" t="n"/>
      <c r="AH150" s="7" t="n"/>
      <c r="AI150" s="7" t="n"/>
      <c r="AJ150" s="7" t="n"/>
      <c r="AK150" s="7" t="n"/>
      <c r="AL150" s="7" t="n"/>
    </row>
    <row r="151" ht="66.59999999999999" customHeight="1" s="104">
      <c r="A151" s="44" t="inlineStr">
        <is>
          <t>3.48</t>
        </is>
      </c>
      <c r="B151" s="44" t="inlineStr">
        <is>
          <t>CINTA PARA POSTE, SEÇÃO CIRCULAR, Ø 250MM</t>
        </is>
      </c>
      <c r="C151" s="44" t="inlineStr">
        <is>
          <t>PÇ</t>
        </is>
      </c>
      <c r="D151" s="45" t="n">
        <v>5</v>
      </c>
      <c r="E151" s="45" t="n"/>
      <c r="F151" s="45" t="n"/>
      <c r="G151" s="45">
        <f t="array" ref="G151">SUM(D151:F151)</f>
        <v/>
      </c>
      <c r="H151" s="121">
        <f t="array" ref="H151">VLOOKUP(A151,#REF!,5,0)</f>
        <v/>
      </c>
      <c r="I151" s="122" t="n">
        <v>0</v>
      </c>
      <c r="J151" s="123" t="n">
        <v>0</v>
      </c>
      <c r="K151" s="124" t="n">
        <v>0</v>
      </c>
      <c r="L151" s="123" t="n">
        <v>0</v>
      </c>
      <c r="M151" s="124" t="n">
        <v>0</v>
      </c>
      <c r="N151" s="124" t="n">
        <v>0</v>
      </c>
      <c r="O151" s="124" t="n">
        <v>0</v>
      </c>
      <c r="P151" s="124" t="n">
        <v>0</v>
      </c>
      <c r="Q151" s="124" t="n">
        <v>0</v>
      </c>
      <c r="R151" s="124" t="n">
        <v>0</v>
      </c>
      <c r="S151" s="124" t="n">
        <v>0</v>
      </c>
      <c r="T151" s="124" t="n">
        <v>0</v>
      </c>
      <c r="U151" s="124" t="n"/>
      <c r="V151" s="124" t="n"/>
      <c r="W151" s="125">
        <f t="array" ref="W151">SUM(I151:V151)</f>
        <v/>
      </c>
      <c r="X151" s="126" t="n">
        <v>0</v>
      </c>
      <c r="Y151" s="125">
        <f t="array" ref="Y151">W151+X151</f>
        <v/>
      </c>
      <c r="Z151" s="125">
        <f t="array" ref="Z151">G151-Y151</f>
        <v/>
      </c>
      <c r="AA151" s="121">
        <f t="array" ref="AA151">ROUND(W151*H151,2)</f>
        <v/>
      </c>
      <c r="AB151" s="127">
        <f t="array" ref="AB151">ROUND(X151*H151,2)</f>
        <v/>
      </c>
      <c r="AC151" s="121">
        <f t="array" ref="AC151">ROUND(AA151+AB151,2)</f>
        <v/>
      </c>
      <c r="AD151" s="127">
        <f t="array" ref="AD151">ROUND((G151*H151)-AC151,2)</f>
        <v/>
      </c>
      <c r="AE151" s="54">
        <f t="array" ref="AE151">_xlfn.IFERROR(ROUND(AC151/(G151*H151),2),0)</f>
        <v/>
      </c>
      <c r="AF151" s="7" t="n"/>
      <c r="AG151" s="7" t="n"/>
      <c r="AH151" s="7" t="n"/>
      <c r="AI151" s="7" t="n"/>
      <c r="AJ151" s="7" t="n"/>
      <c r="AK151" s="7" t="n"/>
      <c r="AL151" s="7" t="n"/>
    </row>
    <row r="152" ht="66.59999999999999" customHeight="1" s="104">
      <c r="A152" s="44" t="inlineStr">
        <is>
          <t>3.49</t>
        </is>
      </c>
      <c r="B152" s="44" t="inlineStr">
        <is>
          <t>CINTA PARA POSTE, SEÇÃO CIRCULAR, Ø 260MM</t>
        </is>
      </c>
      <c r="C152" s="44" t="inlineStr">
        <is>
          <t>PÇ</t>
        </is>
      </c>
      <c r="D152" s="45" t="n">
        <v>5</v>
      </c>
      <c r="E152" s="45" t="n"/>
      <c r="F152" s="45" t="n"/>
      <c r="G152" s="45">
        <f t="array" ref="G152">SUM(D152:F152)</f>
        <v/>
      </c>
      <c r="H152" s="121">
        <f t="array" ref="H152">VLOOKUP(A152,#REF!,5,0)</f>
        <v/>
      </c>
      <c r="I152" s="122" t="n">
        <v>0</v>
      </c>
      <c r="J152" s="123" t="n">
        <v>0</v>
      </c>
      <c r="K152" s="124" t="n">
        <v>0</v>
      </c>
      <c r="L152" s="123" t="n">
        <v>0</v>
      </c>
      <c r="M152" s="124" t="n">
        <v>0</v>
      </c>
      <c r="N152" s="124" t="n">
        <v>0</v>
      </c>
      <c r="O152" s="124" t="n">
        <v>0</v>
      </c>
      <c r="P152" s="124" t="n">
        <v>0</v>
      </c>
      <c r="Q152" s="124" t="n">
        <v>0</v>
      </c>
      <c r="R152" s="124" t="n">
        <v>0</v>
      </c>
      <c r="S152" s="124" t="n">
        <v>0</v>
      </c>
      <c r="T152" s="124" t="n">
        <v>0</v>
      </c>
      <c r="U152" s="124" t="n"/>
      <c r="V152" s="124" t="n"/>
      <c r="W152" s="125">
        <f t="array" ref="W152">SUM(I152:V152)</f>
        <v/>
      </c>
      <c r="X152" s="126" t="n">
        <v>0</v>
      </c>
      <c r="Y152" s="125">
        <f t="array" ref="Y152">W152+X152</f>
        <v/>
      </c>
      <c r="Z152" s="125">
        <f t="array" ref="Z152">G152-Y152</f>
        <v/>
      </c>
      <c r="AA152" s="121">
        <f t="array" ref="AA152">ROUND(W152*H152,2)</f>
        <v/>
      </c>
      <c r="AB152" s="127">
        <f t="array" ref="AB152">ROUND(X152*H152,2)</f>
        <v/>
      </c>
      <c r="AC152" s="121">
        <f t="array" ref="AC152">ROUND(AA152+AB152,2)</f>
        <v/>
      </c>
      <c r="AD152" s="127">
        <f t="array" ref="AD152">ROUND((G152*H152)-AC152,2)</f>
        <v/>
      </c>
      <c r="AE152" s="54">
        <f t="array" ref="AE152">_xlfn.IFERROR(ROUND(AC152/(G152*H152),2),0)</f>
        <v/>
      </c>
      <c r="AF152" s="7" t="n"/>
      <c r="AG152" s="7" t="n"/>
      <c r="AH152" s="7" t="n"/>
      <c r="AI152" s="7" t="n"/>
      <c r="AJ152" s="7" t="n"/>
      <c r="AK152" s="7" t="n"/>
      <c r="AL152" s="7" t="n"/>
    </row>
    <row r="153" ht="66.59999999999999" customHeight="1" s="104">
      <c r="A153" s="44" t="inlineStr">
        <is>
          <t>3.50</t>
        </is>
      </c>
      <c r="B153" s="44" t="inlineStr">
        <is>
          <t>CINTA PARA POSTE, SEÇÃO CIRCULAR, Ø 270MM</t>
        </is>
      </c>
      <c r="C153" s="44" t="inlineStr">
        <is>
          <t>PÇ</t>
        </is>
      </c>
      <c r="D153" s="45" t="n">
        <v>5</v>
      </c>
      <c r="E153" s="45" t="n"/>
      <c r="F153" s="45" t="n"/>
      <c r="G153" s="45">
        <f t="array" ref="G153">SUM(D153:F153)</f>
        <v/>
      </c>
      <c r="H153" s="121">
        <f t="array" ref="H153">VLOOKUP(A153,#REF!,5,0)</f>
        <v/>
      </c>
      <c r="I153" s="122" t="n">
        <v>0</v>
      </c>
      <c r="J153" s="123" t="n">
        <v>0</v>
      </c>
      <c r="K153" s="124" t="n">
        <v>0</v>
      </c>
      <c r="L153" s="123" t="n">
        <v>0</v>
      </c>
      <c r="M153" s="124" t="n">
        <v>0</v>
      </c>
      <c r="N153" s="124" t="n">
        <v>0</v>
      </c>
      <c r="O153" s="124" t="n">
        <v>0</v>
      </c>
      <c r="P153" s="124" t="n">
        <v>0</v>
      </c>
      <c r="Q153" s="124" t="n">
        <v>0</v>
      </c>
      <c r="R153" s="124" t="n">
        <v>0</v>
      </c>
      <c r="S153" s="124" t="n">
        <v>0</v>
      </c>
      <c r="T153" s="124" t="n">
        <v>0</v>
      </c>
      <c r="U153" s="124" t="n"/>
      <c r="V153" s="124" t="n"/>
      <c r="W153" s="125">
        <f t="array" ref="W153">SUM(I153:V153)</f>
        <v/>
      </c>
      <c r="X153" s="126" t="n">
        <v>0</v>
      </c>
      <c r="Y153" s="125">
        <f t="array" ref="Y153">W153+X153</f>
        <v/>
      </c>
      <c r="Z153" s="125">
        <f t="array" ref="Z153">G153-Y153</f>
        <v/>
      </c>
      <c r="AA153" s="121">
        <f t="array" ref="AA153">ROUND(W153*H153,2)</f>
        <v/>
      </c>
      <c r="AB153" s="127">
        <f t="array" ref="AB153">ROUND(X153*H153,2)</f>
        <v/>
      </c>
      <c r="AC153" s="121">
        <f t="array" ref="AC153">ROUND(AA153+AB153,2)</f>
        <v/>
      </c>
      <c r="AD153" s="127">
        <f t="array" ref="AD153">ROUND((G153*H153)-AC153,2)</f>
        <v/>
      </c>
      <c r="AE153" s="54">
        <f t="array" ref="AE153">_xlfn.IFERROR(ROUND(AC153/(G153*H153),2),0)</f>
        <v/>
      </c>
      <c r="AF153" s="7" t="n"/>
      <c r="AG153" s="7" t="n"/>
      <c r="AH153" s="7" t="n"/>
      <c r="AI153" s="7" t="n"/>
      <c r="AJ153" s="7" t="n"/>
      <c r="AK153" s="7" t="n"/>
      <c r="AL153" s="7" t="n"/>
    </row>
    <row r="154" ht="66.59999999999999" customHeight="1" s="104">
      <c r="A154" s="44" t="inlineStr">
        <is>
          <t>3.51</t>
        </is>
      </c>
      <c r="B154" s="44" t="inlineStr">
        <is>
          <t>CINTA PARA POSTE, SEÇÃO CIRCULAR, Ø 280MM</t>
        </is>
      </c>
      <c r="C154" s="44" t="inlineStr">
        <is>
          <t>PÇ</t>
        </is>
      </c>
      <c r="D154" s="45" t="n">
        <v>5</v>
      </c>
      <c r="E154" s="45" t="n"/>
      <c r="F154" s="45" t="n"/>
      <c r="G154" s="45">
        <f t="array" ref="G154">SUM(D154:F154)</f>
        <v/>
      </c>
      <c r="H154" s="121">
        <f t="array" ref="H154">VLOOKUP(A154,#REF!,5,0)</f>
        <v/>
      </c>
      <c r="I154" s="122" t="n">
        <v>0</v>
      </c>
      <c r="J154" s="123" t="n">
        <v>0</v>
      </c>
      <c r="K154" s="124" t="n">
        <v>0</v>
      </c>
      <c r="L154" s="123" t="n">
        <v>0</v>
      </c>
      <c r="M154" s="124" t="n">
        <v>0</v>
      </c>
      <c r="N154" s="124" t="n">
        <v>0</v>
      </c>
      <c r="O154" s="124" t="n">
        <v>0</v>
      </c>
      <c r="P154" s="124" t="n">
        <v>0</v>
      </c>
      <c r="Q154" s="124" t="n">
        <v>0</v>
      </c>
      <c r="R154" s="124" t="n">
        <v>0</v>
      </c>
      <c r="S154" s="124" t="n">
        <v>0</v>
      </c>
      <c r="T154" s="124" t="n">
        <v>0</v>
      </c>
      <c r="U154" s="124" t="n"/>
      <c r="V154" s="124" t="n"/>
      <c r="W154" s="125">
        <f t="array" ref="W154">SUM(I154:V154)</f>
        <v/>
      </c>
      <c r="X154" s="126" t="n">
        <v>0</v>
      </c>
      <c r="Y154" s="125">
        <f t="array" ref="Y154">W154+X154</f>
        <v/>
      </c>
      <c r="Z154" s="125">
        <f t="array" ref="Z154">G154-Y154</f>
        <v/>
      </c>
      <c r="AA154" s="121">
        <f t="array" ref="AA154">ROUND(W154*H154,2)</f>
        <v/>
      </c>
      <c r="AB154" s="127">
        <f t="array" ref="AB154">ROUND(X154*H154,2)</f>
        <v/>
      </c>
      <c r="AC154" s="121">
        <f t="array" ref="AC154">ROUND(AA154+AB154,2)</f>
        <v/>
      </c>
      <c r="AD154" s="127">
        <f t="array" ref="AD154">ROUND((G154*H154)-AC154,2)</f>
        <v/>
      </c>
      <c r="AE154" s="54">
        <f t="array" ref="AE154">_xlfn.IFERROR(ROUND(AC154/(G154*H154),2),0)</f>
        <v/>
      </c>
      <c r="AF154" s="7" t="n"/>
      <c r="AG154" s="7" t="n"/>
      <c r="AH154" s="7" t="n"/>
      <c r="AI154" s="7" t="n"/>
      <c r="AJ154" s="7" t="n"/>
      <c r="AK154" s="7" t="n"/>
      <c r="AL154" s="7" t="n"/>
    </row>
    <row r="155" ht="66.59999999999999" customHeight="1" s="104">
      <c r="A155" s="44" t="inlineStr">
        <is>
          <t>3.52</t>
        </is>
      </c>
      <c r="B155" s="44" t="inlineStr">
        <is>
          <t>CINTA PARA POSTE, SEÇÃO CIRCULAR, Ø 290MM</t>
        </is>
      </c>
      <c r="C155" s="44" t="inlineStr">
        <is>
          <t>PÇ</t>
        </is>
      </c>
      <c r="D155" s="45" t="n">
        <v>2</v>
      </c>
      <c r="E155" s="45" t="n"/>
      <c r="F155" s="45" t="n"/>
      <c r="G155" s="45">
        <f t="array" ref="G155">SUM(D155:F155)</f>
        <v/>
      </c>
      <c r="H155" s="121">
        <f t="array" ref="H155">VLOOKUP(A155,#REF!,5,0)</f>
        <v/>
      </c>
      <c r="I155" s="122" t="n">
        <v>0</v>
      </c>
      <c r="J155" s="123" t="n">
        <v>0</v>
      </c>
      <c r="K155" s="124" t="n">
        <v>0</v>
      </c>
      <c r="L155" s="123" t="n">
        <v>0</v>
      </c>
      <c r="M155" s="124" t="n">
        <v>0</v>
      </c>
      <c r="N155" s="124" t="n">
        <v>0</v>
      </c>
      <c r="O155" s="124" t="n">
        <v>0</v>
      </c>
      <c r="P155" s="124" t="n">
        <v>0</v>
      </c>
      <c r="Q155" s="124" t="n">
        <v>0</v>
      </c>
      <c r="R155" s="124" t="n">
        <v>0</v>
      </c>
      <c r="S155" s="124" t="n">
        <v>0</v>
      </c>
      <c r="T155" s="124" t="n">
        <v>0</v>
      </c>
      <c r="U155" s="124" t="n"/>
      <c r="V155" s="124" t="n"/>
      <c r="W155" s="125">
        <f t="array" ref="W155">SUM(I155:V155)</f>
        <v/>
      </c>
      <c r="X155" s="126" t="n">
        <v>0</v>
      </c>
      <c r="Y155" s="125">
        <f t="array" ref="Y155">W155+X155</f>
        <v/>
      </c>
      <c r="Z155" s="125">
        <f t="array" ref="Z155">G155-Y155</f>
        <v/>
      </c>
      <c r="AA155" s="121">
        <f t="array" ref="AA155">ROUND(W155*H155,2)</f>
        <v/>
      </c>
      <c r="AB155" s="127">
        <f t="array" ref="AB155">ROUND(X155*H155,2)</f>
        <v/>
      </c>
      <c r="AC155" s="121">
        <f t="array" ref="AC155">ROUND(AA155+AB155,2)</f>
        <v/>
      </c>
      <c r="AD155" s="127">
        <f t="array" ref="AD155">ROUND((G155*H155)-AC155,2)</f>
        <v/>
      </c>
      <c r="AE155" s="54">
        <f t="array" ref="AE155">_xlfn.IFERROR(ROUND(AC155/(G155*H155),2),0)</f>
        <v/>
      </c>
      <c r="AF155" s="7" t="n"/>
      <c r="AG155" s="7" t="n"/>
      <c r="AH155" s="7" t="n"/>
      <c r="AI155" s="7" t="n"/>
      <c r="AJ155" s="7" t="n"/>
      <c r="AK155" s="7" t="n"/>
      <c r="AL155" s="7" t="n"/>
    </row>
    <row r="156" ht="66.59999999999999" customHeight="1" s="104">
      <c r="A156" s="44" t="inlineStr">
        <is>
          <t>3.53</t>
        </is>
      </c>
      <c r="B156" s="44" t="inlineStr">
        <is>
          <t>CINTA PARA POSTE, SEÇÃO CIRCULAR, Ø 300MM</t>
        </is>
      </c>
      <c r="C156" s="44" t="inlineStr">
        <is>
          <t>PÇ</t>
        </is>
      </c>
      <c r="D156" s="45" t="n">
        <v>2</v>
      </c>
      <c r="E156" s="45" t="n"/>
      <c r="F156" s="45" t="n"/>
      <c r="G156" s="45">
        <f t="array" ref="G156">SUM(D156:F156)</f>
        <v/>
      </c>
      <c r="H156" s="121">
        <f t="array" ref="H156">VLOOKUP(A156,#REF!,5,0)</f>
        <v/>
      </c>
      <c r="I156" s="122" t="n">
        <v>0</v>
      </c>
      <c r="J156" s="123" t="n">
        <v>0</v>
      </c>
      <c r="K156" s="124" t="n">
        <v>0</v>
      </c>
      <c r="L156" s="123" t="n">
        <v>0</v>
      </c>
      <c r="M156" s="124" t="n">
        <v>0</v>
      </c>
      <c r="N156" s="124" t="n">
        <v>0</v>
      </c>
      <c r="O156" s="124" t="n">
        <v>0</v>
      </c>
      <c r="P156" s="124" t="n">
        <v>0</v>
      </c>
      <c r="Q156" s="124" t="n">
        <v>0</v>
      </c>
      <c r="R156" s="124" t="n">
        <v>0</v>
      </c>
      <c r="S156" s="124" t="n">
        <v>0</v>
      </c>
      <c r="T156" s="124" t="n">
        <v>0</v>
      </c>
      <c r="U156" s="124" t="n"/>
      <c r="V156" s="124" t="n"/>
      <c r="W156" s="125">
        <f t="array" ref="W156">SUM(I156:V156)</f>
        <v/>
      </c>
      <c r="X156" s="126" t="n">
        <v>0</v>
      </c>
      <c r="Y156" s="125">
        <f t="array" ref="Y156">W156+X156</f>
        <v/>
      </c>
      <c r="Z156" s="125">
        <f t="array" ref="Z156">G156-Y156</f>
        <v/>
      </c>
      <c r="AA156" s="121">
        <f t="array" ref="AA156">ROUND(W156*H156,2)</f>
        <v/>
      </c>
      <c r="AB156" s="127">
        <f t="array" ref="AB156">ROUND(X156*H156,2)</f>
        <v/>
      </c>
      <c r="AC156" s="121">
        <f t="array" ref="AC156">ROUND(AA156+AB156,2)</f>
        <v/>
      </c>
      <c r="AD156" s="127">
        <f t="array" ref="AD156">ROUND((G156*H156)-AC156,2)</f>
        <v/>
      </c>
      <c r="AE156" s="54">
        <f t="array" ref="AE156">_xlfn.IFERROR(ROUND(AC156/(G156*H156),2),0)</f>
        <v/>
      </c>
      <c r="AF156" s="7" t="n"/>
      <c r="AG156" s="7" t="n"/>
      <c r="AH156" s="7" t="n"/>
      <c r="AI156" s="7" t="n"/>
      <c r="AJ156" s="7" t="n"/>
      <c r="AK156" s="7" t="n"/>
      <c r="AL156" s="7" t="n"/>
    </row>
    <row r="157" ht="66.59999999999999" customHeight="1" s="104">
      <c r="A157" s="44" t="inlineStr">
        <is>
          <t>3.54</t>
        </is>
      </c>
      <c r="B157" s="44" t="inlineStr">
        <is>
          <t>CINTA PARA POSTE, SEÇÃO CIRCULAR, Ø 310MM</t>
        </is>
      </c>
      <c r="C157" s="44" t="inlineStr">
        <is>
          <t>PÇ</t>
        </is>
      </c>
      <c r="D157" s="45" t="n">
        <v>2</v>
      </c>
      <c r="E157" s="45" t="n"/>
      <c r="F157" s="45" t="n"/>
      <c r="G157" s="45">
        <f t="array" ref="G157">SUM(D157:F157)</f>
        <v/>
      </c>
      <c r="H157" s="121">
        <f t="array" ref="H157">VLOOKUP(A157,#REF!,5,0)</f>
        <v/>
      </c>
      <c r="I157" s="122" t="n">
        <v>0</v>
      </c>
      <c r="J157" s="123" t="n">
        <v>0</v>
      </c>
      <c r="K157" s="124" t="n">
        <v>0</v>
      </c>
      <c r="L157" s="123" t="n">
        <v>0</v>
      </c>
      <c r="M157" s="124" t="n">
        <v>0</v>
      </c>
      <c r="N157" s="124" t="n">
        <v>0</v>
      </c>
      <c r="O157" s="124" t="n">
        <v>0</v>
      </c>
      <c r="P157" s="124" t="n">
        <v>0</v>
      </c>
      <c r="Q157" s="124" t="n">
        <v>0</v>
      </c>
      <c r="R157" s="124" t="n">
        <v>0</v>
      </c>
      <c r="S157" s="124" t="n">
        <v>0</v>
      </c>
      <c r="T157" s="124" t="n">
        <v>0</v>
      </c>
      <c r="U157" s="124" t="n"/>
      <c r="V157" s="124" t="n"/>
      <c r="W157" s="125">
        <f t="array" ref="W157">SUM(I157:V157)</f>
        <v/>
      </c>
      <c r="X157" s="126" t="n">
        <v>0</v>
      </c>
      <c r="Y157" s="125">
        <f t="array" ref="Y157">W157+X157</f>
        <v/>
      </c>
      <c r="Z157" s="125">
        <f t="array" ref="Z157">G157-Y157</f>
        <v/>
      </c>
      <c r="AA157" s="121">
        <f t="array" ref="AA157">ROUND(W157*H157,2)</f>
        <v/>
      </c>
      <c r="AB157" s="127">
        <f t="array" ref="AB157">ROUND(X157*H157,2)</f>
        <v/>
      </c>
      <c r="AC157" s="121">
        <f t="array" ref="AC157">ROUND(AA157+AB157,2)</f>
        <v/>
      </c>
      <c r="AD157" s="127">
        <f t="array" ref="AD157">ROUND((G157*H157)-AC157,2)</f>
        <v/>
      </c>
      <c r="AE157" s="54">
        <f t="array" ref="AE157">_xlfn.IFERROR(ROUND(AC157/(G157*H157),2),0)</f>
        <v/>
      </c>
      <c r="AF157" s="7" t="n"/>
      <c r="AG157" s="7" t="n"/>
      <c r="AH157" s="7" t="n"/>
      <c r="AI157" s="7" t="n"/>
      <c r="AJ157" s="7" t="n"/>
      <c r="AK157" s="7" t="n"/>
      <c r="AL157" s="7" t="n"/>
    </row>
    <row r="158" ht="133.2" customHeight="1" s="104">
      <c r="A158" s="44" t="inlineStr">
        <is>
          <t>3.55</t>
        </is>
      </c>
      <c r="B158" s="44" t="inlineStr">
        <is>
          <t>CINTA REGULÁVEL EM AÇO INOX PARA FIXAÇÃO EM POSTE, DIMENSÕES 10X1MM</t>
        </is>
      </c>
      <c r="C158" s="44" t="inlineStr">
        <is>
          <t>M</t>
        </is>
      </c>
      <c r="D158" s="45" t="n">
        <v>50</v>
      </c>
      <c r="E158" s="45" t="n"/>
      <c r="F158" s="45" t="n"/>
      <c r="G158" s="45">
        <f t="array" ref="G158">SUM(D158:F158)</f>
        <v/>
      </c>
      <c r="H158" s="121">
        <f t="array" ref="H158">VLOOKUP(A158,#REF!,5,0)</f>
        <v/>
      </c>
      <c r="I158" s="122" t="n">
        <v>0</v>
      </c>
      <c r="J158" s="123" t="n">
        <v>2</v>
      </c>
      <c r="K158" s="124" t="n">
        <v>36</v>
      </c>
      <c r="L158" s="123" t="n">
        <v>0</v>
      </c>
      <c r="M158" s="124" t="n">
        <v>11</v>
      </c>
      <c r="N158" s="124" t="n">
        <v>0</v>
      </c>
      <c r="O158" s="124" t="n">
        <v>0</v>
      </c>
      <c r="P158" s="124" t="n">
        <v>0</v>
      </c>
      <c r="Q158" s="124" t="n">
        <v>0</v>
      </c>
      <c r="R158" s="124" t="n">
        <v>0</v>
      </c>
      <c r="S158" s="124" t="n">
        <v>0</v>
      </c>
      <c r="T158" s="124" t="n">
        <v>0</v>
      </c>
      <c r="U158" s="124" t="n"/>
      <c r="V158" s="124" t="n"/>
      <c r="W158" s="125">
        <f t="array" ref="W158">SUM(I158:V158)</f>
        <v/>
      </c>
      <c r="X158" s="126" t="n">
        <v>0</v>
      </c>
      <c r="Y158" s="125">
        <f t="array" ref="Y158">W158+X158</f>
        <v/>
      </c>
      <c r="Z158" s="125">
        <f t="array" ref="Z158">G158-Y158</f>
        <v/>
      </c>
      <c r="AA158" s="121">
        <f t="array" ref="AA158">ROUND(W158*H158,2)</f>
        <v/>
      </c>
      <c r="AB158" s="127">
        <f t="array" ref="AB158">ROUND(X158*H158,2)</f>
        <v/>
      </c>
      <c r="AC158" s="121">
        <f t="array" ref="AC158">ROUND(AA158+AB158,2)</f>
        <v/>
      </c>
      <c r="AD158" s="127">
        <f t="array" ref="AD158">ROUND((G158*H158)-AC158,2)</f>
        <v/>
      </c>
      <c r="AE158" s="54">
        <f t="array" ref="AE158">_xlfn.IFERROR(ROUND(AC158/(G158*H158),2),0)</f>
        <v/>
      </c>
      <c r="AF158" s="7" t="n"/>
      <c r="AG158" s="7" t="n"/>
      <c r="AH158" s="7" t="n"/>
      <c r="AI158" s="7" t="n"/>
      <c r="AJ158" s="7" t="n"/>
      <c r="AK158" s="7" t="n"/>
      <c r="AL158" s="7" t="n"/>
    </row>
    <row r="159" ht="199.8" customHeight="1" s="104">
      <c r="A159" s="44" t="inlineStr">
        <is>
          <t>3.56</t>
        </is>
      </c>
      <c r="B159" s="44" t="inlineStr">
        <is>
          <t>CONDULETE DE ALUMÍNIO,  UNIVERSAL (PODEM SER UTILIZADOS COM O TIPO C, T, E, ETC.), PINTADO NA COR CINZA, Ø 1"</t>
        </is>
      </c>
      <c r="C159" s="44" t="inlineStr">
        <is>
          <t>PÇ</t>
        </is>
      </c>
      <c r="D159" s="45" t="n">
        <v>2</v>
      </c>
      <c r="E159" s="45" t="n"/>
      <c r="F159" s="45" t="n"/>
      <c r="G159" s="45">
        <f t="array" ref="G159">SUM(D159:F159)</f>
        <v/>
      </c>
      <c r="H159" s="121">
        <f t="array" ref="H159">VLOOKUP(A159,#REF!,5,0)</f>
        <v/>
      </c>
      <c r="I159" s="122" t="n">
        <v>0</v>
      </c>
      <c r="J159" s="123" t="n">
        <v>0</v>
      </c>
      <c r="K159" s="124" t="n">
        <v>0</v>
      </c>
      <c r="L159" s="123" t="n">
        <v>0</v>
      </c>
      <c r="M159" s="124" t="n">
        <v>0</v>
      </c>
      <c r="N159" s="124" t="n">
        <v>0</v>
      </c>
      <c r="O159" s="124" t="n">
        <v>0</v>
      </c>
      <c r="P159" s="124" t="n">
        <v>0</v>
      </c>
      <c r="Q159" s="124" t="n">
        <v>0</v>
      </c>
      <c r="R159" s="124" t="n">
        <v>0</v>
      </c>
      <c r="S159" s="124" t="n">
        <v>0</v>
      </c>
      <c r="T159" s="124" t="n">
        <v>0</v>
      </c>
      <c r="U159" s="124" t="n"/>
      <c r="V159" s="124" t="n"/>
      <c r="W159" s="125">
        <f t="array" ref="W159">SUM(I159:V159)</f>
        <v/>
      </c>
      <c r="X159" s="126" t="n">
        <v>0</v>
      </c>
      <c r="Y159" s="125">
        <f t="array" ref="Y159">W159+X159</f>
        <v/>
      </c>
      <c r="Z159" s="125">
        <f t="array" ref="Z159">G159-Y159</f>
        <v/>
      </c>
      <c r="AA159" s="121">
        <f t="array" ref="AA159">ROUND(W159*H159,2)</f>
        <v/>
      </c>
      <c r="AB159" s="127">
        <f t="array" ref="AB159">ROUND(X159*H159,2)</f>
        <v/>
      </c>
      <c r="AC159" s="121">
        <f t="array" ref="AC159">ROUND(AA159+AB159,2)</f>
        <v/>
      </c>
      <c r="AD159" s="127">
        <f t="array" ref="AD159">ROUND((G159*H159)-AC159,2)</f>
        <v/>
      </c>
      <c r="AE159" s="54">
        <f t="array" ref="AE159">_xlfn.IFERROR(ROUND(AC159/(G159*H159),2),0)</f>
        <v/>
      </c>
      <c r="AF159" s="7" t="n"/>
      <c r="AG159" s="7" t="n"/>
      <c r="AH159" s="7" t="n"/>
      <c r="AI159" s="7" t="n"/>
      <c r="AJ159" s="7" t="n"/>
      <c r="AK159" s="7" t="n"/>
      <c r="AL159" s="7" t="n"/>
    </row>
    <row r="160" ht="199.8" customHeight="1" s="104">
      <c r="A160" s="44" t="inlineStr">
        <is>
          <t>3.57</t>
        </is>
      </c>
      <c r="B160" s="44" t="inlineStr">
        <is>
          <t>CONDULETE DE ALUMÍNIO,  UNIVERSAL (PODEM SER UTILIZADOS COM O TIPO C, T, E, ETC.), PINTADO NA COR CINZA, Ø 2"</t>
        </is>
      </c>
      <c r="C160" s="44" t="inlineStr">
        <is>
          <t>PÇ</t>
        </is>
      </c>
      <c r="D160" s="45" t="n">
        <v>2</v>
      </c>
      <c r="E160" s="45" t="n"/>
      <c r="F160" s="45" t="n"/>
      <c r="G160" s="45">
        <f t="array" ref="G160">SUM(D160:F160)</f>
        <v/>
      </c>
      <c r="H160" s="121">
        <f t="array" ref="H160">VLOOKUP(A160,#REF!,5,0)</f>
        <v/>
      </c>
      <c r="I160" s="122" t="n">
        <v>0</v>
      </c>
      <c r="J160" s="123" t="n">
        <v>0</v>
      </c>
      <c r="K160" s="124" t="n">
        <v>0</v>
      </c>
      <c r="L160" s="123" t="n">
        <v>0</v>
      </c>
      <c r="M160" s="124" t="n">
        <v>0</v>
      </c>
      <c r="N160" s="124" t="n">
        <v>0</v>
      </c>
      <c r="O160" s="124" t="n">
        <v>0</v>
      </c>
      <c r="P160" s="124" t="n">
        <v>0</v>
      </c>
      <c r="Q160" s="124" t="n">
        <v>0</v>
      </c>
      <c r="R160" s="124" t="n">
        <v>0</v>
      </c>
      <c r="S160" s="124" t="n">
        <v>0</v>
      </c>
      <c r="T160" s="124" t="n">
        <v>0</v>
      </c>
      <c r="U160" s="124" t="n"/>
      <c r="V160" s="124" t="n"/>
      <c r="W160" s="125">
        <f t="array" ref="W160">SUM(I160:V160)</f>
        <v/>
      </c>
      <c r="X160" s="126" t="n">
        <v>0</v>
      </c>
      <c r="Y160" s="125">
        <f t="array" ref="Y160">W160+X160</f>
        <v/>
      </c>
      <c r="Z160" s="125">
        <f t="array" ref="Z160">G160-Y160</f>
        <v/>
      </c>
      <c r="AA160" s="121">
        <f t="array" ref="AA160">ROUND(W160*H160,2)</f>
        <v/>
      </c>
      <c r="AB160" s="127">
        <f t="array" ref="AB160">ROUND(X160*H160,2)</f>
        <v/>
      </c>
      <c r="AC160" s="121">
        <f t="array" ref="AC160">ROUND(AA160+AB160,2)</f>
        <v/>
      </c>
      <c r="AD160" s="127">
        <f t="array" ref="AD160">ROUND((G160*H160)-AC160,2)</f>
        <v/>
      </c>
      <c r="AE160" s="54">
        <f t="array" ref="AE160">_xlfn.IFERROR(ROUND(AC160/(G160*H160),2),0)</f>
        <v/>
      </c>
      <c r="AF160" s="7" t="n"/>
      <c r="AG160" s="7" t="n"/>
      <c r="AH160" s="7" t="n"/>
      <c r="AI160" s="7" t="n"/>
      <c r="AJ160" s="7" t="n"/>
      <c r="AK160" s="7" t="n"/>
      <c r="AL160" s="7" t="n"/>
    </row>
    <row r="161" ht="199.8" customHeight="1" s="104">
      <c r="A161" s="44" t="inlineStr">
        <is>
          <t>3.58</t>
        </is>
      </c>
      <c r="B161" s="44" t="inlineStr">
        <is>
          <t>CONDULETE DE ALUMÍNIO, UNIVERSAL (PODEM SER UTILIZADOS COM O TIPO C, T, E, ETC.), PINTADO NA COR CINZA, Ø 11/2"</t>
        </is>
      </c>
      <c r="C161" s="44" t="inlineStr">
        <is>
          <t>PÇ</t>
        </is>
      </c>
      <c r="D161" s="45" t="n">
        <v>2</v>
      </c>
      <c r="E161" s="45" t="n"/>
      <c r="F161" s="45" t="n"/>
      <c r="G161" s="45">
        <f t="array" ref="G161">SUM(D161:F161)</f>
        <v/>
      </c>
      <c r="H161" s="121">
        <f t="array" ref="H161">VLOOKUP(A161,#REF!,5,0)</f>
        <v/>
      </c>
      <c r="I161" s="122" t="n">
        <v>0</v>
      </c>
      <c r="J161" s="123" t="n">
        <v>0</v>
      </c>
      <c r="K161" s="124" t="n">
        <v>0</v>
      </c>
      <c r="L161" s="123" t="n">
        <v>0</v>
      </c>
      <c r="M161" s="124" t="n">
        <v>0</v>
      </c>
      <c r="N161" s="124" t="n">
        <v>0</v>
      </c>
      <c r="O161" s="124" t="n">
        <v>0</v>
      </c>
      <c r="P161" s="124" t="n">
        <v>0</v>
      </c>
      <c r="Q161" s="124" t="n">
        <v>0</v>
      </c>
      <c r="R161" s="124" t="n">
        <v>0</v>
      </c>
      <c r="S161" s="124" t="n">
        <v>0</v>
      </c>
      <c r="T161" s="124" t="n">
        <v>0</v>
      </c>
      <c r="U161" s="124" t="n"/>
      <c r="V161" s="124" t="n"/>
      <c r="W161" s="125">
        <f t="array" ref="W161">SUM(I161:V161)</f>
        <v/>
      </c>
      <c r="X161" s="126" t="n">
        <v>0</v>
      </c>
      <c r="Y161" s="125">
        <f t="array" ref="Y161">W161+X161</f>
        <v/>
      </c>
      <c r="Z161" s="125">
        <f t="array" ref="Z161">G161-Y161</f>
        <v/>
      </c>
      <c r="AA161" s="121">
        <f t="array" ref="AA161">ROUND(W161*H161,2)</f>
        <v/>
      </c>
      <c r="AB161" s="127">
        <f t="array" ref="AB161">ROUND(X161*H161,2)</f>
        <v/>
      </c>
      <c r="AC161" s="121">
        <f t="array" ref="AC161">ROUND(AA161+AB161,2)</f>
        <v/>
      </c>
      <c r="AD161" s="127">
        <f t="array" ref="AD161">ROUND((G161*H161)-AC161,2)</f>
        <v/>
      </c>
      <c r="AE161" s="54">
        <f t="array" ref="AE161">_xlfn.IFERROR(ROUND(AC161/(G161*H161),2),0)</f>
        <v/>
      </c>
      <c r="AF161" s="7" t="n"/>
      <c r="AG161" s="7" t="n"/>
      <c r="AH161" s="7" t="n"/>
      <c r="AI161" s="7" t="n"/>
      <c r="AJ161" s="7" t="n"/>
      <c r="AK161" s="7" t="n"/>
      <c r="AL161" s="7" t="n"/>
    </row>
    <row r="162" ht="199.8" customHeight="1" s="104">
      <c r="A162" s="44" t="inlineStr">
        <is>
          <t>3.59</t>
        </is>
      </c>
      <c r="B162" s="44" t="inlineStr">
        <is>
          <t>CONDULETE DE ALUMÍNIO, UNIVERSAL (PODEM SER UTILIZADOS COM O TIPO C, T, E, ETC.), PINTADO NA COR CINZA, Ø 3/4"</t>
        </is>
      </c>
      <c r="C162" s="44" t="inlineStr">
        <is>
          <t>PÇ</t>
        </is>
      </c>
      <c r="D162" s="45" t="n">
        <v>50</v>
      </c>
      <c r="E162" s="45" t="n"/>
      <c r="F162" s="45" t="n"/>
      <c r="G162" s="45">
        <f t="array" ref="G162">SUM(D162:F162)</f>
        <v/>
      </c>
      <c r="H162" s="121">
        <f t="array" ref="H162">VLOOKUP(A162,#REF!,5,0)</f>
        <v/>
      </c>
      <c r="I162" s="122" t="n">
        <v>0</v>
      </c>
      <c r="J162" s="123" t="n">
        <v>0</v>
      </c>
      <c r="K162" s="124" t="n">
        <v>0</v>
      </c>
      <c r="L162" s="123" t="n">
        <v>0</v>
      </c>
      <c r="M162" s="124" t="n">
        <v>0</v>
      </c>
      <c r="N162" s="124" t="n">
        <v>0</v>
      </c>
      <c r="O162" s="124" t="n">
        <v>0</v>
      </c>
      <c r="P162" s="124" t="n">
        <v>0</v>
      </c>
      <c r="Q162" s="124" t="n">
        <v>0</v>
      </c>
      <c r="R162" s="124" t="n">
        <v>0</v>
      </c>
      <c r="S162" s="124" t="n">
        <v>0</v>
      </c>
      <c r="T162" s="124" t="n">
        <v>0</v>
      </c>
      <c r="U162" s="124" t="n"/>
      <c r="V162" s="124" t="n"/>
      <c r="W162" s="125">
        <f t="array" ref="W162">SUM(I162:V162)</f>
        <v/>
      </c>
      <c r="X162" s="126" t="n">
        <v>0</v>
      </c>
      <c r="Y162" s="125">
        <f t="array" ref="Y162">W162+X162</f>
        <v/>
      </c>
      <c r="Z162" s="125">
        <f t="array" ref="Z162">G162-Y162</f>
        <v/>
      </c>
      <c r="AA162" s="121">
        <f t="array" ref="AA162">ROUND(W162*H162,2)</f>
        <v/>
      </c>
      <c r="AB162" s="127">
        <f t="array" ref="AB162">ROUND(X162*H162,2)</f>
        <v/>
      </c>
      <c r="AC162" s="121">
        <f t="array" ref="AC162">ROUND(AA162+AB162,2)</f>
        <v/>
      </c>
      <c r="AD162" s="127">
        <f t="array" ref="AD162">ROUND((G162*H162)-AC162,2)</f>
        <v/>
      </c>
      <c r="AE162" s="54">
        <f t="array" ref="AE162">_xlfn.IFERROR(ROUND(AC162/(G162*H162),2),0)</f>
        <v/>
      </c>
      <c r="AF162" s="7" t="n"/>
      <c r="AG162" s="7" t="n"/>
      <c r="AH162" s="7" t="n"/>
      <c r="AI162" s="7" t="n"/>
      <c r="AJ162" s="7" t="n"/>
      <c r="AK162" s="7" t="n"/>
      <c r="AL162" s="7" t="n"/>
    </row>
    <row r="163" ht="66.59999999999999" customHeight="1" s="104">
      <c r="A163" s="44" t="inlineStr">
        <is>
          <t>3.60</t>
        </is>
      </c>
      <c r="B163" s="44" t="inlineStr">
        <is>
          <t>CONECTOR CUNHA DE BAIXA TENSÃO TIPO A</t>
        </is>
      </c>
      <c r="C163" s="44" t="inlineStr">
        <is>
          <t>PÇ</t>
        </is>
      </c>
      <c r="D163" s="45" t="n">
        <v>250</v>
      </c>
      <c r="E163" s="45" t="n"/>
      <c r="F163" s="45" t="n"/>
      <c r="G163" s="45">
        <f t="array" ref="G163">SUM(D163:F163)</f>
        <v/>
      </c>
      <c r="H163" s="121">
        <f t="array" ref="H163">VLOOKUP(A163,#REF!,5,0)</f>
        <v/>
      </c>
      <c r="I163" s="122" t="n">
        <v>0</v>
      </c>
      <c r="J163" s="123" t="n">
        <v>2</v>
      </c>
      <c r="K163" s="124" t="n">
        <v>0</v>
      </c>
      <c r="L163" s="123" t="n">
        <v>0</v>
      </c>
      <c r="M163" s="124" t="n">
        <v>0</v>
      </c>
      <c r="N163" s="124" t="n">
        <v>0</v>
      </c>
      <c r="O163" s="124" t="n">
        <v>0</v>
      </c>
      <c r="P163" s="124" t="n">
        <v>0</v>
      </c>
      <c r="Q163" s="124" t="n">
        <v>0</v>
      </c>
      <c r="R163" s="124" t="n">
        <v>0</v>
      </c>
      <c r="S163" s="124" t="n">
        <v>0</v>
      </c>
      <c r="T163" s="124" t="n">
        <v>0</v>
      </c>
      <c r="U163" s="124" t="n"/>
      <c r="V163" s="124" t="n"/>
      <c r="W163" s="125">
        <f t="array" ref="W163">SUM(I163:V163)</f>
        <v/>
      </c>
      <c r="X163" s="126" t="n">
        <v>0</v>
      </c>
      <c r="Y163" s="125">
        <f t="array" ref="Y163">W163+X163</f>
        <v/>
      </c>
      <c r="Z163" s="125">
        <f t="array" ref="Z163">G163-Y163</f>
        <v/>
      </c>
      <c r="AA163" s="121">
        <f t="array" ref="AA163">ROUND(W163*H163,2)</f>
        <v/>
      </c>
      <c r="AB163" s="127">
        <f t="array" ref="AB163">ROUND(X163*H163,2)</f>
        <v/>
      </c>
      <c r="AC163" s="121">
        <f t="array" ref="AC163">ROUND(AA163+AB163,2)</f>
        <v/>
      </c>
      <c r="AD163" s="127">
        <f t="array" ref="AD163">ROUND((G163*H163)-AC163,2)</f>
        <v/>
      </c>
      <c r="AE163" s="54">
        <f t="array" ref="AE163">_xlfn.IFERROR(ROUND(AC163/(G163*H163),2),0)</f>
        <v/>
      </c>
      <c r="AF163" s="7" t="n"/>
      <c r="AG163" s="7" t="n"/>
      <c r="AH163" s="7" t="n"/>
      <c r="AI163" s="7" t="n"/>
      <c r="AJ163" s="7" t="n"/>
      <c r="AK163" s="7" t="n"/>
      <c r="AL163" s="7" t="n"/>
    </row>
    <row r="164" ht="66.59999999999999" customHeight="1" s="104">
      <c r="A164" s="44" t="inlineStr">
        <is>
          <t>3.61</t>
        </is>
      </c>
      <c r="B164" s="44" t="inlineStr">
        <is>
          <t>CONECTOR CUNHA DE BAIXA TENSÃO TIPO B</t>
        </is>
      </c>
      <c r="C164" s="44" t="inlineStr">
        <is>
          <t>PÇ</t>
        </is>
      </c>
      <c r="D164" s="45" t="n">
        <v>250</v>
      </c>
      <c r="E164" s="45" t="n"/>
      <c r="F164" s="45" t="n"/>
      <c r="G164" s="45">
        <f t="array" ref="G164">SUM(D164:F164)</f>
        <v/>
      </c>
      <c r="H164" s="121">
        <f t="array" ref="H164">VLOOKUP(A164,#REF!,5,0)</f>
        <v/>
      </c>
      <c r="I164" s="122" t="n">
        <v>0</v>
      </c>
      <c r="J164" s="123" t="n">
        <v>0</v>
      </c>
      <c r="K164" s="124" t="n">
        <v>0</v>
      </c>
      <c r="L164" s="123" t="n">
        <v>0</v>
      </c>
      <c r="M164" s="124" t="n">
        <v>0</v>
      </c>
      <c r="N164" s="124" t="n">
        <v>0</v>
      </c>
      <c r="O164" s="124" t="n">
        <v>0</v>
      </c>
      <c r="P164" s="124" t="n">
        <v>0</v>
      </c>
      <c r="Q164" s="124" t="n">
        <v>0</v>
      </c>
      <c r="R164" s="124" t="n">
        <v>0</v>
      </c>
      <c r="S164" s="124" t="n">
        <v>0</v>
      </c>
      <c r="T164" s="124" t="n">
        <v>0</v>
      </c>
      <c r="U164" s="124" t="n"/>
      <c r="V164" s="124" t="n"/>
      <c r="W164" s="125">
        <f t="array" ref="W164">SUM(I164:V164)</f>
        <v/>
      </c>
      <c r="X164" s="126" t="n">
        <v>0</v>
      </c>
      <c r="Y164" s="125">
        <f t="array" ref="Y164">W164+X164</f>
        <v/>
      </c>
      <c r="Z164" s="125">
        <f t="array" ref="Z164">G164-Y164</f>
        <v/>
      </c>
      <c r="AA164" s="121">
        <f t="array" ref="AA164">ROUND(W164*H164,2)</f>
        <v/>
      </c>
      <c r="AB164" s="127">
        <f t="array" ref="AB164">ROUND(X164*H164,2)</f>
        <v/>
      </c>
      <c r="AC164" s="121">
        <f t="array" ref="AC164">ROUND(AA164+AB164,2)</f>
        <v/>
      </c>
      <c r="AD164" s="127">
        <f t="array" ref="AD164">ROUND((G164*H164)-AC164,2)</f>
        <v/>
      </c>
      <c r="AE164" s="54">
        <f t="array" ref="AE164">_xlfn.IFERROR(ROUND(AC164/(G164*H164),2),0)</f>
        <v/>
      </c>
      <c r="AF164" s="7" t="n"/>
      <c r="AG164" s="7" t="n"/>
      <c r="AH164" s="7" t="n"/>
      <c r="AI164" s="7" t="n"/>
      <c r="AJ164" s="7" t="n"/>
      <c r="AK164" s="7" t="n"/>
      <c r="AL164" s="7" t="n"/>
    </row>
    <row r="165" ht="66.59999999999999" customHeight="1" s="104">
      <c r="A165" s="44" t="inlineStr">
        <is>
          <t>3.62</t>
        </is>
      </c>
      <c r="B165" s="44" t="inlineStr">
        <is>
          <t>CONECTOR CUNHA DE BAIXA TENSÃO TIPO I</t>
        </is>
      </c>
      <c r="C165" s="44" t="inlineStr">
        <is>
          <t>PÇ</t>
        </is>
      </c>
      <c r="D165" s="45" t="n">
        <v>250</v>
      </c>
      <c r="E165" s="45" t="n"/>
      <c r="F165" s="45" t="n"/>
      <c r="G165" s="45">
        <f t="array" ref="G165">SUM(D165:F165)</f>
        <v/>
      </c>
      <c r="H165" s="121">
        <f t="array" ref="H165">VLOOKUP(A165,#REF!,5,0)</f>
        <v/>
      </c>
      <c r="I165" s="122" t="n">
        <v>0</v>
      </c>
      <c r="J165" s="123" t="n">
        <v>0</v>
      </c>
      <c r="K165" s="124" t="n">
        <v>0</v>
      </c>
      <c r="L165" s="123" t="n">
        <v>0</v>
      </c>
      <c r="M165" s="124" t="n">
        <v>0</v>
      </c>
      <c r="N165" s="124" t="n">
        <v>0</v>
      </c>
      <c r="O165" s="124" t="n">
        <v>0</v>
      </c>
      <c r="P165" s="124" t="n">
        <v>0</v>
      </c>
      <c r="Q165" s="124" t="n">
        <v>0</v>
      </c>
      <c r="R165" s="124" t="n">
        <v>0</v>
      </c>
      <c r="S165" s="124" t="n">
        <v>6</v>
      </c>
      <c r="T165" s="124" t="n">
        <v>0</v>
      </c>
      <c r="U165" s="124" t="n"/>
      <c r="V165" s="124" t="n"/>
      <c r="W165" s="125">
        <f t="array" ref="W165">SUM(I165:V165)</f>
        <v/>
      </c>
      <c r="X165" s="126" t="n">
        <v>0</v>
      </c>
      <c r="Y165" s="125">
        <f t="array" ref="Y165">W165+X165</f>
        <v/>
      </c>
      <c r="Z165" s="125">
        <f t="array" ref="Z165">G165-Y165</f>
        <v/>
      </c>
      <c r="AA165" s="121">
        <f t="array" ref="AA165">ROUND(W165*H165,2)</f>
        <v/>
      </c>
      <c r="AB165" s="127">
        <f t="array" ref="AB165">ROUND(X165*H165,2)</f>
        <v/>
      </c>
      <c r="AC165" s="121">
        <f t="array" ref="AC165">ROUND(AA165+AB165,2)</f>
        <v/>
      </c>
      <c r="AD165" s="127">
        <f t="array" ref="AD165">ROUND((G165*H165)-AC165,2)</f>
        <v/>
      </c>
      <c r="AE165" s="54">
        <f t="array" ref="AE165">_xlfn.IFERROR(ROUND(AC165/(G165*H165),2),0)</f>
        <v/>
      </c>
      <c r="AF165" s="7" t="n"/>
      <c r="AG165" s="7" t="n"/>
      <c r="AH165" s="7" t="n"/>
      <c r="AI165" s="7" t="n"/>
      <c r="AJ165" s="7" t="n"/>
      <c r="AK165" s="7" t="n"/>
      <c r="AL165" s="7" t="n"/>
    </row>
    <row r="166" ht="66.59999999999999" customHeight="1" s="104">
      <c r="A166" s="44" t="inlineStr">
        <is>
          <t>3.63</t>
        </is>
      </c>
      <c r="B166" s="44" t="inlineStr">
        <is>
          <t>CONECTOR CUNHA DE BAIXA TENSÃO TIPO II</t>
        </is>
      </c>
      <c r="C166" s="44" t="inlineStr">
        <is>
          <t>PÇ</t>
        </is>
      </c>
      <c r="D166" s="45" t="n">
        <v>1756</v>
      </c>
      <c r="E166" s="45" t="n"/>
      <c r="F166" s="45" t="n"/>
      <c r="G166" s="45">
        <f t="array" ref="G166">SUM(D166:F166)</f>
        <v/>
      </c>
      <c r="H166" s="121">
        <f t="array" ref="H166">VLOOKUP(A166,#REF!,5,0)</f>
        <v/>
      </c>
      <c r="I166" s="122" t="n">
        <v>0</v>
      </c>
      <c r="J166" s="123" t="n">
        <v>0</v>
      </c>
      <c r="K166" s="124" t="n">
        <v>0</v>
      </c>
      <c r="L166" s="123" t="n">
        <v>0</v>
      </c>
      <c r="M166" s="124" t="n">
        <v>0</v>
      </c>
      <c r="N166" s="124" t="n">
        <v>0</v>
      </c>
      <c r="O166" s="124" t="n">
        <v>0</v>
      </c>
      <c r="P166" s="124" t="n">
        <v>0</v>
      </c>
      <c r="Q166" s="124" t="n">
        <v>0</v>
      </c>
      <c r="R166" s="124" t="n">
        <v>0</v>
      </c>
      <c r="S166" s="124" t="n">
        <v>211</v>
      </c>
      <c r="T166" s="124" t="n">
        <v>365</v>
      </c>
      <c r="U166" s="124" t="n"/>
      <c r="V166" s="124" t="n"/>
      <c r="W166" s="125">
        <f t="array" ref="W166">SUM(I166:V166)</f>
        <v/>
      </c>
      <c r="X166" s="126" t="n">
        <v>49</v>
      </c>
      <c r="Y166" s="125">
        <f t="array" ref="Y166">W166+X166</f>
        <v/>
      </c>
      <c r="Z166" s="125">
        <f t="array" ref="Z166">G166-Y166</f>
        <v/>
      </c>
      <c r="AA166" s="121">
        <f t="array" ref="AA166">ROUND(W166*H166,2)</f>
        <v/>
      </c>
      <c r="AB166" s="127">
        <f t="array" ref="AB166">ROUND(X166*H166,2)</f>
        <v/>
      </c>
      <c r="AC166" s="121">
        <f t="array" ref="AC166">ROUND(AA166+AB166,2)</f>
        <v/>
      </c>
      <c r="AD166" s="127">
        <f t="array" ref="AD166">ROUND((G166*H166)-AC166,2)</f>
        <v/>
      </c>
      <c r="AE166" s="54">
        <f t="array" ref="AE166">_xlfn.IFERROR(ROUND(AC166/(G166*H166),2),0)</f>
        <v/>
      </c>
      <c r="AF166" s="7" t="n"/>
      <c r="AG166" s="7" t="n"/>
      <c r="AH166" s="7" t="n"/>
      <c r="AI166" s="7" t="n"/>
      <c r="AJ166" s="7" t="n"/>
      <c r="AK166" s="7" t="n"/>
      <c r="AL166" s="7" t="n"/>
    </row>
    <row r="167" ht="66.59999999999999" customHeight="1" s="104">
      <c r="A167" s="44" t="inlineStr">
        <is>
          <t>3.64</t>
        </is>
      </c>
      <c r="B167" s="44" t="inlineStr">
        <is>
          <t>CONECTOR CUNHA DE BAIXA TENSÃO TIPO III</t>
        </is>
      </c>
      <c r="C167" s="44" t="inlineStr">
        <is>
          <t>PÇ</t>
        </is>
      </c>
      <c r="D167" s="45" t="n">
        <v>1756</v>
      </c>
      <c r="E167" s="45" t="n">
        <v>800</v>
      </c>
      <c r="F167" s="45" t="n"/>
      <c r="G167" s="45">
        <f t="array" ref="G167">SUM(D167:F167)</f>
        <v/>
      </c>
      <c r="H167" s="121">
        <f t="array" ref="H167">VLOOKUP(A167,#REF!,5,0)</f>
        <v/>
      </c>
      <c r="I167" s="122" t="n">
        <v>0</v>
      </c>
      <c r="J167" s="123" t="n">
        <v>0</v>
      </c>
      <c r="K167" s="124" t="n">
        <v>14</v>
      </c>
      <c r="L167" s="123" t="n">
        <v>0</v>
      </c>
      <c r="M167" s="124" t="n">
        <v>0</v>
      </c>
      <c r="N167" s="124" t="n">
        <v>12</v>
      </c>
      <c r="O167" s="124" t="n">
        <v>0</v>
      </c>
      <c r="P167" s="124" t="n">
        <v>0</v>
      </c>
      <c r="Q167" s="124" t="n">
        <v>2043</v>
      </c>
      <c r="R167" s="124" t="n">
        <v>13</v>
      </c>
      <c r="S167" s="124" t="n">
        <v>474</v>
      </c>
      <c r="T167" s="124" t="n">
        <v>0</v>
      </c>
      <c r="U167" s="124" t="n"/>
      <c r="V167" s="124" t="n"/>
      <c r="W167" s="125">
        <f t="array" ref="W167">SUM(I167:V167)</f>
        <v/>
      </c>
      <c r="X167" s="126" t="n">
        <v>0</v>
      </c>
      <c r="Y167" s="125">
        <f t="array" ref="Y167">W167+X167</f>
        <v/>
      </c>
      <c r="Z167" s="125">
        <f t="array" ref="Z167">G167-Y167</f>
        <v/>
      </c>
      <c r="AA167" s="121">
        <f t="array" ref="AA167">ROUND(W167*H167,2)</f>
        <v/>
      </c>
      <c r="AB167" s="127">
        <f t="array" ref="AB167">ROUND(X167*H167,2)</f>
        <v/>
      </c>
      <c r="AC167" s="121">
        <f t="array" ref="AC167">ROUND(AA167+AB167,2)</f>
        <v/>
      </c>
      <c r="AD167" s="127">
        <f t="array" ref="AD167">ROUND((G167*H167)-AC167,2)</f>
        <v/>
      </c>
      <c r="AE167" s="54">
        <f t="array" ref="AE167">_xlfn.IFERROR(ROUND(AC167/(G167*H167),2),0)</f>
        <v/>
      </c>
      <c r="AF167" s="7" t="n"/>
      <c r="AG167" s="7" t="n"/>
      <c r="AH167" s="7" t="n"/>
      <c r="AI167" s="7" t="n"/>
      <c r="AJ167" s="7" t="n"/>
      <c r="AK167" s="7" t="n"/>
      <c r="AL167" s="7" t="n"/>
    </row>
    <row r="168" ht="66.59999999999999" customHeight="1" s="104">
      <c r="A168" s="44" t="inlineStr">
        <is>
          <t>3.65</t>
        </is>
      </c>
      <c r="B168" s="44" t="inlineStr">
        <is>
          <t>CONECTOR CUNHA DE BAIXA TENSÃO TIPO IV</t>
        </is>
      </c>
      <c r="C168" s="44" t="inlineStr">
        <is>
          <t>PÇ</t>
        </is>
      </c>
      <c r="D168" s="45" t="n">
        <v>2195</v>
      </c>
      <c r="E168" s="45" t="n"/>
      <c r="F168" s="45" t="n"/>
      <c r="G168" s="45">
        <f t="array" ref="G168">SUM(D168:F168)</f>
        <v/>
      </c>
      <c r="H168" s="121">
        <f t="array" ref="H168">VLOOKUP(A168,#REF!,5,0)</f>
        <v/>
      </c>
      <c r="I168" s="122" t="n">
        <v>0</v>
      </c>
      <c r="J168" s="123" t="n">
        <v>0</v>
      </c>
      <c r="K168" s="124" t="n">
        <v>0</v>
      </c>
      <c r="L168" s="123" t="n">
        <v>921</v>
      </c>
      <c r="M168" s="124" t="n">
        <v>1106</v>
      </c>
      <c r="N168" s="124" t="n">
        <v>168</v>
      </c>
      <c r="O168" s="124" t="n">
        <v>0</v>
      </c>
      <c r="P168" s="124" t="n">
        <v>0</v>
      </c>
      <c r="Q168" s="124" t="n">
        <v>0</v>
      </c>
      <c r="R168" s="124" t="n">
        <v>0</v>
      </c>
      <c r="S168" s="124" t="n">
        <v>0</v>
      </c>
      <c r="T168" s="124" t="n">
        <v>0</v>
      </c>
      <c r="U168" s="124" t="n"/>
      <c r="V168" s="124" t="n"/>
      <c r="W168" s="125">
        <f t="array" ref="W168">SUM(I168:V168)</f>
        <v/>
      </c>
      <c r="X168" s="126" t="n">
        <v>0</v>
      </c>
      <c r="Y168" s="125">
        <f t="array" ref="Y168">W168+X168</f>
        <v/>
      </c>
      <c r="Z168" s="125">
        <f t="array" ref="Z168">G168-Y168</f>
        <v/>
      </c>
      <c r="AA168" s="121">
        <f t="array" ref="AA168">ROUND(W168*H168,2)</f>
        <v/>
      </c>
      <c r="AB168" s="127">
        <f t="array" ref="AB168">ROUND(X168*H168,2)</f>
        <v/>
      </c>
      <c r="AC168" s="121">
        <f t="array" ref="AC168">ROUND(AA168+AB168,2)</f>
        <v/>
      </c>
      <c r="AD168" s="127">
        <f t="array" ref="AD168">ROUND((G168*H168)-AC168,2)</f>
        <v/>
      </c>
      <c r="AE168" s="54">
        <f t="array" ref="AE168">_xlfn.IFERROR(ROUND(AC168/(G168*H168),2),0)</f>
        <v/>
      </c>
      <c r="AF168" s="7" t="n"/>
      <c r="AG168" s="7" t="n"/>
      <c r="AH168" s="7" t="n"/>
      <c r="AI168" s="7" t="n"/>
      <c r="AJ168" s="7" t="n"/>
      <c r="AK168" s="7" t="n"/>
      <c r="AL168" s="7" t="n"/>
    </row>
    <row r="169" ht="66.59999999999999" customHeight="1" s="104">
      <c r="A169" s="44" t="inlineStr">
        <is>
          <t>3.66</t>
        </is>
      </c>
      <c r="B169" s="44" t="inlineStr">
        <is>
          <t>CONECTOR CUNHA DE BAIXA TENSÃO TIPO VII</t>
        </is>
      </c>
      <c r="C169" s="44" t="inlineStr">
        <is>
          <t>PÇ</t>
        </is>
      </c>
      <c r="D169" s="45" t="n">
        <v>250</v>
      </c>
      <c r="E169" s="45" t="n"/>
      <c r="F169" s="45" t="n"/>
      <c r="G169" s="45">
        <f t="array" ref="G169">SUM(D169:F169)</f>
        <v/>
      </c>
      <c r="H169" s="121">
        <f t="array" ref="H169">VLOOKUP(A169,#REF!,5,0)</f>
        <v/>
      </c>
      <c r="I169" s="122" t="n">
        <v>0</v>
      </c>
      <c r="J169" s="123" t="n">
        <v>0</v>
      </c>
      <c r="K169" s="124" t="n">
        <v>0</v>
      </c>
      <c r="L169" s="123" t="n">
        <v>0</v>
      </c>
      <c r="M169" s="124" t="n">
        <v>0</v>
      </c>
      <c r="N169" s="124" t="n">
        <v>0</v>
      </c>
      <c r="O169" s="124" t="n">
        <v>0</v>
      </c>
      <c r="P169" s="124" t="n">
        <v>0</v>
      </c>
      <c r="Q169" s="124" t="n">
        <v>0</v>
      </c>
      <c r="R169" s="124" t="n">
        <v>225</v>
      </c>
      <c r="S169" s="124" t="n">
        <v>25</v>
      </c>
      <c r="T169" s="124" t="n">
        <v>0</v>
      </c>
      <c r="U169" s="124" t="n"/>
      <c r="V169" s="124" t="n"/>
      <c r="W169" s="125">
        <f t="array" ref="W169">SUM(I169:V169)</f>
        <v/>
      </c>
      <c r="X169" s="126" t="n">
        <v>0</v>
      </c>
      <c r="Y169" s="125">
        <f t="array" ref="Y169">W169+X169</f>
        <v/>
      </c>
      <c r="Z169" s="125">
        <f t="array" ref="Z169">G169-Y169</f>
        <v/>
      </c>
      <c r="AA169" s="121">
        <f t="array" ref="AA169">ROUND(W169*H169,2)</f>
        <v/>
      </c>
      <c r="AB169" s="127">
        <f t="array" ref="AB169">ROUND(X169*H169,2)</f>
        <v/>
      </c>
      <c r="AC169" s="121">
        <f t="array" ref="AC169">ROUND(AA169+AB169,2)</f>
        <v/>
      </c>
      <c r="AD169" s="127">
        <f t="array" ref="AD169">ROUND((G169*H169)-AC169,2)</f>
        <v/>
      </c>
      <c r="AE169" s="54">
        <f t="array" ref="AE169">_xlfn.IFERROR(ROUND(AC169/(G169*H169),2),0)</f>
        <v/>
      </c>
      <c r="AF169" s="7" t="n"/>
      <c r="AG169" s="7" t="n"/>
      <c r="AH169" s="7" t="n"/>
      <c r="AI169" s="7" t="n"/>
      <c r="AJ169" s="7" t="n"/>
      <c r="AK169" s="7" t="n"/>
      <c r="AL169" s="7" t="n"/>
    </row>
    <row r="170" ht="133.2" customHeight="1" s="104">
      <c r="A170" s="44" t="inlineStr">
        <is>
          <t>3.67</t>
        </is>
      </c>
      <c r="B170" s="44" t="inlineStr">
        <is>
          <t>CONECTOR CUNHA PARA ATERRAMENTO, HASTE 5/8" E CABO DE COBRE NÚ 25-35 MM²</t>
        </is>
      </c>
      <c r="C170" s="44" t="inlineStr">
        <is>
          <t>PÇ</t>
        </is>
      </c>
      <c r="D170" s="45" t="n">
        <v>100</v>
      </c>
      <c r="E170" s="45" t="n"/>
      <c r="F170" s="45" t="n"/>
      <c r="G170" s="45">
        <f t="array" ref="G170">SUM(D170:F170)</f>
        <v/>
      </c>
      <c r="H170" s="121">
        <f t="array" ref="H170">VLOOKUP(A170,#REF!,5,0)</f>
        <v/>
      </c>
      <c r="I170" s="122" t="n">
        <v>0</v>
      </c>
      <c r="J170" s="123" t="n">
        <v>5</v>
      </c>
      <c r="K170" s="124" t="n">
        <v>9</v>
      </c>
      <c r="L170" s="123" t="n">
        <v>10</v>
      </c>
      <c r="M170" s="124" t="n">
        <v>4</v>
      </c>
      <c r="N170" s="124" t="n">
        <v>1</v>
      </c>
      <c r="O170" s="124" t="n">
        <v>1</v>
      </c>
      <c r="P170" s="124" t="n">
        <v>7</v>
      </c>
      <c r="Q170" s="124" t="n">
        <v>5</v>
      </c>
      <c r="R170" s="124" t="n">
        <v>0</v>
      </c>
      <c r="S170" s="124" t="n">
        <v>5</v>
      </c>
      <c r="T170" s="124" t="n">
        <v>1</v>
      </c>
      <c r="U170" s="124" t="n"/>
      <c r="V170" s="124" t="n"/>
      <c r="W170" s="125">
        <f t="array" ref="W170">SUM(I170:V170)</f>
        <v/>
      </c>
      <c r="X170" s="126" t="n">
        <v>0</v>
      </c>
      <c r="Y170" s="125">
        <f t="array" ref="Y170">W170+X170</f>
        <v/>
      </c>
      <c r="Z170" s="125">
        <f t="array" ref="Z170">G170-Y170</f>
        <v/>
      </c>
      <c r="AA170" s="121">
        <f t="array" ref="AA170">ROUND(W170*H170,2)</f>
        <v/>
      </c>
      <c r="AB170" s="127">
        <f t="array" ref="AB170">ROUND(X170*H170,2)</f>
        <v/>
      </c>
      <c r="AC170" s="121">
        <f t="array" ref="AC170">ROUND(AA170+AB170,2)</f>
        <v/>
      </c>
      <c r="AD170" s="127">
        <f t="array" ref="AD170">ROUND((G170*H170)-AC170,2)</f>
        <v/>
      </c>
      <c r="AE170" s="54">
        <f t="array" ref="AE170">_xlfn.IFERROR(ROUND(AC170/(G170*H170),2),0)</f>
        <v/>
      </c>
      <c r="AF170" s="7" t="n"/>
      <c r="AG170" s="7" t="n"/>
      <c r="AH170" s="7" t="n"/>
      <c r="AI170" s="7" t="n"/>
      <c r="AJ170" s="7" t="n"/>
      <c r="AK170" s="7" t="n"/>
      <c r="AL170" s="7" t="n"/>
    </row>
    <row r="171" ht="133.2" customHeight="1" s="104">
      <c r="A171" s="44" t="inlineStr">
        <is>
          <t>3.68</t>
        </is>
      </c>
      <c r="B171" s="44" t="inlineStr">
        <is>
          <t>CONECTOR DE DERIVAÇÃO PERFURANTE 10 - 95 X 1,5 - 10MM2</t>
        </is>
      </c>
      <c r="C171" s="44" t="inlineStr">
        <is>
          <t>PÇ</t>
        </is>
      </c>
      <c r="D171" s="45" t="n">
        <v>2500</v>
      </c>
      <c r="E171" s="45" t="n">
        <v>350</v>
      </c>
      <c r="F171" s="45" t="n">
        <v>500</v>
      </c>
      <c r="G171" s="45">
        <f t="array" ref="G171">SUM(D171:F171)</f>
        <v/>
      </c>
      <c r="H171" s="121">
        <f t="array" ref="H171">VLOOKUP(A171,#REF!,5,0)</f>
        <v/>
      </c>
      <c r="I171" s="122" t="n">
        <v>226</v>
      </c>
      <c r="J171" s="123" t="n">
        <v>1488</v>
      </c>
      <c r="K171" s="124" t="n">
        <v>917</v>
      </c>
      <c r="L171" s="123" t="n">
        <v>206</v>
      </c>
      <c r="M171" s="124" t="n">
        <v>98</v>
      </c>
      <c r="N171" s="124" t="n">
        <v>46</v>
      </c>
      <c r="O171" s="124" t="n">
        <v>46</v>
      </c>
      <c r="P171" s="124" t="n">
        <v>0</v>
      </c>
      <c r="Q171" s="124" t="n">
        <v>54</v>
      </c>
      <c r="R171" s="124" t="n">
        <v>268</v>
      </c>
      <c r="S171" s="124" t="n">
        <v>0</v>
      </c>
      <c r="T171" s="124" t="n">
        <v>0</v>
      </c>
      <c r="U171" s="124" t="n"/>
      <c r="V171" s="124" t="n"/>
      <c r="W171" s="125">
        <f t="array" ref="W171">SUM(I171:V171)</f>
        <v/>
      </c>
      <c r="X171" s="126" t="n">
        <v>0</v>
      </c>
      <c r="Y171" s="125">
        <f t="array" ref="Y171">W171+X171</f>
        <v/>
      </c>
      <c r="Z171" s="125">
        <f t="array" ref="Z171">G171-Y171</f>
        <v/>
      </c>
      <c r="AA171" s="121">
        <f t="array" ref="AA171">ROUND(W171*H171,2)</f>
        <v/>
      </c>
      <c r="AB171" s="127">
        <f t="array" ref="AB171">ROUND(X171*H171,2)</f>
        <v/>
      </c>
      <c r="AC171" s="121">
        <f t="array" ref="AC171">ROUND(AA171+AB171,2)</f>
        <v/>
      </c>
      <c r="AD171" s="127">
        <f t="array" ref="AD171">ROUND((G171*H171)-AC171,2)</f>
        <v/>
      </c>
      <c r="AE171" s="54">
        <f t="array" ref="AE171">_xlfn.IFERROR(ROUND(AC171/(G171*H171),2),0)</f>
        <v/>
      </c>
      <c r="AF171" s="7" t="n"/>
      <c r="AG171" s="7" t="n"/>
      <c r="AH171" s="7" t="n"/>
      <c r="AI171" s="7" t="n"/>
      <c r="AJ171" s="7" t="n"/>
      <c r="AK171" s="7" t="n"/>
      <c r="AL171" s="7" t="n"/>
    </row>
    <row r="172" ht="133.2" customHeight="1" s="104">
      <c r="A172" s="44" t="inlineStr">
        <is>
          <t>3.69</t>
        </is>
      </c>
      <c r="B172" s="44" t="inlineStr">
        <is>
          <t>CONECTOR DE DERIVAÇÃO PERFURANTE 16 -70 X 6 - 35MM2</t>
        </is>
      </c>
      <c r="C172" s="44" t="inlineStr">
        <is>
          <t>PÇ</t>
        </is>
      </c>
      <c r="D172" s="45" t="n">
        <v>150</v>
      </c>
      <c r="E172" s="45" t="n"/>
      <c r="F172" s="45" t="n">
        <v>50</v>
      </c>
      <c r="G172" s="45">
        <f t="array" ref="G172">SUM(D172:F172)</f>
        <v/>
      </c>
      <c r="H172" s="121">
        <f t="array" ref="H172">VLOOKUP(A172,#REF!,5,0)</f>
        <v/>
      </c>
      <c r="I172" s="122" t="n">
        <v>0</v>
      </c>
      <c r="J172" s="123" t="n">
        <v>0</v>
      </c>
      <c r="K172" s="124" t="n">
        <v>0</v>
      </c>
      <c r="L172" s="123" t="n">
        <v>17</v>
      </c>
      <c r="M172" s="124" t="n">
        <v>8</v>
      </c>
      <c r="N172" s="124" t="n">
        <v>0</v>
      </c>
      <c r="O172" s="124" t="n">
        <v>1</v>
      </c>
      <c r="P172" s="124" t="n">
        <v>0</v>
      </c>
      <c r="Q172" s="124" t="n">
        <v>0</v>
      </c>
      <c r="R172" s="124" t="n">
        <v>174</v>
      </c>
      <c r="S172" s="124" t="n">
        <v>0</v>
      </c>
      <c r="T172" s="124" t="n">
        <v>0</v>
      </c>
      <c r="U172" s="124" t="n"/>
      <c r="V172" s="124" t="n"/>
      <c r="W172" s="125">
        <f t="array" ref="W172">SUM(I172:V172)</f>
        <v/>
      </c>
      <c r="X172" s="126" t="n">
        <v>0</v>
      </c>
      <c r="Y172" s="125">
        <f t="array" ref="Y172">W172+X172</f>
        <v/>
      </c>
      <c r="Z172" s="125">
        <f t="array" ref="Z172">G172-Y172</f>
        <v/>
      </c>
      <c r="AA172" s="121">
        <f t="array" ref="AA172">ROUND(W172*H172,2)</f>
        <v/>
      </c>
      <c r="AB172" s="127">
        <f t="array" ref="AB172">ROUND(X172*H172,2)</f>
        <v/>
      </c>
      <c r="AC172" s="121">
        <f t="array" ref="AC172">ROUND(AA172+AB172,2)</f>
        <v/>
      </c>
      <c r="AD172" s="127">
        <f t="array" ref="AD172">ROUND((G172*H172)-AC172,2)</f>
        <v/>
      </c>
      <c r="AE172" s="54">
        <f t="array" ref="AE172">_xlfn.IFERROR(ROUND(AC172/(G172*H172),2),0)</f>
        <v/>
      </c>
      <c r="AF172" s="7" t="n"/>
      <c r="AG172" s="7" t="n"/>
      <c r="AH172" s="7" t="n"/>
      <c r="AI172" s="7" t="n"/>
      <c r="AJ172" s="7" t="n"/>
      <c r="AK172" s="7" t="n"/>
      <c r="AL172" s="7" t="n"/>
    </row>
    <row r="173" ht="133.2" customHeight="1" s="104">
      <c r="A173" s="44" t="inlineStr">
        <is>
          <t>3.70</t>
        </is>
      </c>
      <c r="B173" s="44" t="inlineStr">
        <is>
          <t>CONECTOR PARA CORDA LUMINOSA DIÂMETRO 13MM, COM PLUGUE E EMENDA</t>
        </is>
      </c>
      <c r="C173" s="44" t="inlineStr">
        <is>
          <t>PÇ</t>
        </is>
      </c>
      <c r="D173" s="45" t="n">
        <v>100</v>
      </c>
      <c r="E173" s="45" t="n"/>
      <c r="F173" s="45" t="n"/>
      <c r="G173" s="45">
        <f t="array" ref="G173">SUM(D173:F173)</f>
        <v/>
      </c>
      <c r="H173" s="121">
        <f t="array" ref="H173">VLOOKUP(A173,#REF!,5,0)</f>
        <v/>
      </c>
      <c r="I173" s="122" t="n">
        <v>0</v>
      </c>
      <c r="J173" s="123" t="n">
        <v>0</v>
      </c>
      <c r="K173" s="124" t="n">
        <v>0</v>
      </c>
      <c r="L173" s="123" t="n">
        <v>0</v>
      </c>
      <c r="M173" s="124" t="n">
        <v>0</v>
      </c>
      <c r="N173" s="124" t="n">
        <v>0</v>
      </c>
      <c r="O173" s="124" t="n">
        <v>0</v>
      </c>
      <c r="P173" s="124" t="n">
        <v>0</v>
      </c>
      <c r="Q173" s="124" t="n">
        <v>0</v>
      </c>
      <c r="R173" s="124" t="n">
        <v>0</v>
      </c>
      <c r="S173" s="124" t="n">
        <v>0</v>
      </c>
      <c r="T173" s="124" t="n">
        <v>0</v>
      </c>
      <c r="U173" s="124" t="n"/>
      <c r="V173" s="124" t="n"/>
      <c r="W173" s="125">
        <f t="array" ref="W173">SUM(I173:V173)</f>
        <v/>
      </c>
      <c r="X173" s="126" t="n">
        <v>0</v>
      </c>
      <c r="Y173" s="125">
        <f t="array" ref="Y173">W173+X173</f>
        <v/>
      </c>
      <c r="Z173" s="125">
        <f t="array" ref="Z173">G173-Y173</f>
        <v/>
      </c>
      <c r="AA173" s="121">
        <f t="array" ref="AA173">ROUND(W173*H173,2)</f>
        <v/>
      </c>
      <c r="AB173" s="127">
        <f t="array" ref="AB173">ROUND(X173*H173,2)</f>
        <v/>
      </c>
      <c r="AC173" s="121">
        <f t="array" ref="AC173">ROUND(AA173+AB173,2)</f>
        <v/>
      </c>
      <c r="AD173" s="127">
        <f t="array" ref="AD173">ROUND((G173*H173)-AC173,2)</f>
        <v/>
      </c>
      <c r="AE173" s="54">
        <f t="array" ref="AE173">_xlfn.IFERROR(ROUND(AC173/(G173*H173),2),0)</f>
        <v/>
      </c>
      <c r="AF173" s="7" t="n"/>
      <c r="AG173" s="7" t="n"/>
      <c r="AH173" s="7" t="n"/>
      <c r="AI173" s="7" t="n"/>
      <c r="AJ173" s="7" t="n"/>
      <c r="AK173" s="7" t="n"/>
      <c r="AL173" s="7" t="n"/>
    </row>
    <row r="174" ht="66.59999999999999" customHeight="1" s="104">
      <c r="A174" s="44" t="inlineStr">
        <is>
          <t>3.71</t>
        </is>
      </c>
      <c r="B174" s="44" t="inlineStr">
        <is>
          <t>EMENDA PARA CORDA LUMINOSA DIÂMETRO 13MM</t>
        </is>
      </c>
      <c r="C174" s="44" t="inlineStr">
        <is>
          <t>PÇ</t>
        </is>
      </c>
      <c r="D174" s="45" t="n">
        <v>50</v>
      </c>
      <c r="E174" s="45" t="n"/>
      <c r="F174" s="45" t="n"/>
      <c r="G174" s="45">
        <f t="array" ref="G174">SUM(D174:F174)</f>
        <v/>
      </c>
      <c r="H174" s="121">
        <f t="array" ref="H174">VLOOKUP(A174,#REF!,5,0)</f>
        <v/>
      </c>
      <c r="I174" s="122" t="n">
        <v>0</v>
      </c>
      <c r="J174" s="123" t="n">
        <v>0</v>
      </c>
      <c r="K174" s="124" t="n">
        <v>0</v>
      </c>
      <c r="L174" s="123" t="n">
        <v>0</v>
      </c>
      <c r="M174" s="124" t="n">
        <v>0</v>
      </c>
      <c r="N174" s="124" t="n">
        <v>0</v>
      </c>
      <c r="O174" s="124" t="n">
        <v>0</v>
      </c>
      <c r="P174" s="124" t="n">
        <v>0</v>
      </c>
      <c r="Q174" s="124" t="n">
        <v>0</v>
      </c>
      <c r="R174" s="124" t="n">
        <v>0</v>
      </c>
      <c r="S174" s="124" t="n">
        <v>0</v>
      </c>
      <c r="T174" s="124" t="n">
        <v>0</v>
      </c>
      <c r="U174" s="124" t="n"/>
      <c r="V174" s="124" t="n"/>
      <c r="W174" s="125">
        <f t="array" ref="W174">SUM(I174:V174)</f>
        <v/>
      </c>
      <c r="X174" s="126" t="n">
        <v>0</v>
      </c>
      <c r="Y174" s="125">
        <f t="array" ref="Y174">W174+X174</f>
        <v/>
      </c>
      <c r="Z174" s="125">
        <f t="array" ref="Z174">G174-Y174</f>
        <v/>
      </c>
      <c r="AA174" s="121">
        <f t="array" ref="AA174">ROUND(W174*H174,2)</f>
        <v/>
      </c>
      <c r="AB174" s="127">
        <f t="array" ref="AB174">ROUND(X174*H174,2)</f>
        <v/>
      </c>
      <c r="AC174" s="121">
        <f t="array" ref="AC174">ROUND(AA174+AB174,2)</f>
        <v/>
      </c>
      <c r="AD174" s="127">
        <f t="array" ref="AD174">ROUND((G174*H174)-AC174,2)</f>
        <v/>
      </c>
      <c r="AE174" s="54">
        <f t="array" ref="AE174">_xlfn.IFERROR(ROUND(AC174/(G174*H174),2),0)</f>
        <v/>
      </c>
      <c r="AF174" s="7" t="n"/>
      <c r="AG174" s="7" t="n"/>
      <c r="AH174" s="7" t="n"/>
      <c r="AI174" s="7" t="n"/>
      <c r="AJ174" s="7" t="n"/>
      <c r="AK174" s="7" t="n"/>
      <c r="AL174" s="7" t="n"/>
    </row>
    <row r="175" ht="66.59999999999999" customHeight="1" s="104">
      <c r="A175" s="44" t="inlineStr">
        <is>
          <t>3.72</t>
        </is>
      </c>
      <c r="B175" s="44" t="inlineStr">
        <is>
          <t>CONECTOR SAPATA PARA ATERRAMENTO DE TUBO DE AÇO</t>
        </is>
      </c>
      <c r="C175" s="44" t="inlineStr">
        <is>
          <t>PÇ</t>
        </is>
      </c>
      <c r="D175" s="45" t="n">
        <v>7</v>
      </c>
      <c r="E175" s="45" t="n"/>
      <c r="F175" s="45" t="n"/>
      <c r="G175" s="45">
        <f t="array" ref="G175">SUM(D175:F175)</f>
        <v/>
      </c>
      <c r="H175" s="121">
        <f t="array" ref="H175">VLOOKUP(A175,#REF!,5,0)</f>
        <v/>
      </c>
      <c r="I175" s="122" t="n">
        <v>0</v>
      </c>
      <c r="J175" s="123" t="n">
        <v>1</v>
      </c>
      <c r="K175" s="124" t="n">
        <v>0</v>
      </c>
      <c r="L175" s="123" t="n">
        <v>0</v>
      </c>
      <c r="M175" s="124" t="n">
        <v>0</v>
      </c>
      <c r="N175" s="124" t="n">
        <v>0</v>
      </c>
      <c r="O175" s="124" t="n">
        <v>0</v>
      </c>
      <c r="P175" s="124" t="n">
        <v>0</v>
      </c>
      <c r="Q175" s="124" t="n">
        <v>0</v>
      </c>
      <c r="R175" s="124" t="n">
        <v>0</v>
      </c>
      <c r="S175" s="124" t="n">
        <v>0</v>
      </c>
      <c r="T175" s="124" t="n">
        <v>0</v>
      </c>
      <c r="U175" s="124" t="n"/>
      <c r="V175" s="124" t="n"/>
      <c r="W175" s="125">
        <f t="array" ref="W175">SUM(I175:V175)</f>
        <v/>
      </c>
      <c r="X175" s="126" t="n">
        <v>0</v>
      </c>
      <c r="Y175" s="125">
        <f t="array" ref="Y175">W175+X175</f>
        <v/>
      </c>
      <c r="Z175" s="125">
        <f t="array" ref="Z175">G175-Y175</f>
        <v/>
      </c>
      <c r="AA175" s="121">
        <f t="array" ref="AA175">ROUND(W175*H175,2)</f>
        <v/>
      </c>
      <c r="AB175" s="127">
        <f t="array" ref="AB175">ROUND(X175*H175,2)</f>
        <v/>
      </c>
      <c r="AC175" s="121">
        <f t="array" ref="AC175">ROUND(AA175+AB175,2)</f>
        <v/>
      </c>
      <c r="AD175" s="127">
        <f t="array" ref="AD175">ROUND((G175*H175)-AC175,2)</f>
        <v/>
      </c>
      <c r="AE175" s="54">
        <f t="array" ref="AE175">_xlfn.IFERROR(ROUND(AC175/(G175*H175),2),0)</f>
        <v/>
      </c>
      <c r="AF175" s="7" t="n"/>
      <c r="AG175" s="7" t="n"/>
      <c r="AH175" s="7" t="n"/>
      <c r="AI175" s="7" t="n"/>
      <c r="AJ175" s="7" t="n"/>
      <c r="AK175" s="7" t="n"/>
      <c r="AL175" s="7" t="n"/>
    </row>
    <row r="176" ht="199.8" customHeight="1" s="104">
      <c r="A176" s="44" t="inlineStr">
        <is>
          <t>3.73</t>
        </is>
      </c>
      <c r="B176" s="44" t="inlineStr">
        <is>
          <t>CONECTOR TIPO H OU C OU PF PARA CABO PASSANTE EM COBRE SEÇÃO 10MM2 E CABO DERIVAÇÃO EM COBRE SEÇÃO 2,5MM2</t>
        </is>
      </c>
      <c r="C176" s="44" t="inlineStr">
        <is>
          <t>PÇ</t>
        </is>
      </c>
      <c r="D176" s="45" t="n">
        <v>250</v>
      </c>
      <c r="E176" s="45" t="n"/>
      <c r="F176" s="45" t="n"/>
      <c r="G176" s="45">
        <f t="array" ref="G176">SUM(D176:F176)</f>
        <v/>
      </c>
      <c r="H176" s="121">
        <f t="array" ref="H176">VLOOKUP(A176,#REF!,5,0)</f>
        <v/>
      </c>
      <c r="I176" s="122" t="n">
        <v>0</v>
      </c>
      <c r="J176" s="123" t="n">
        <v>0</v>
      </c>
      <c r="K176" s="124" t="n">
        <v>0</v>
      </c>
      <c r="L176" s="123" t="n">
        <v>0</v>
      </c>
      <c r="M176" s="124" t="n">
        <v>0</v>
      </c>
      <c r="N176" s="124" t="n">
        <v>0</v>
      </c>
      <c r="O176" s="124" t="n">
        <v>0</v>
      </c>
      <c r="P176" s="124" t="n">
        <v>0</v>
      </c>
      <c r="Q176" s="124" t="n">
        <v>0</v>
      </c>
      <c r="R176" s="124" t="n">
        <v>0</v>
      </c>
      <c r="S176" s="124" t="n">
        <v>0</v>
      </c>
      <c r="T176" s="124" t="n">
        <v>0</v>
      </c>
      <c r="U176" s="124" t="n"/>
      <c r="V176" s="124" t="n"/>
      <c r="W176" s="125">
        <f t="array" ref="W176">SUM(I176:V176)</f>
        <v/>
      </c>
      <c r="X176" s="126" t="n">
        <v>0</v>
      </c>
      <c r="Y176" s="125">
        <f t="array" ref="Y176">W176+X176</f>
        <v/>
      </c>
      <c r="Z176" s="125">
        <f t="array" ref="Z176">G176-Y176</f>
        <v/>
      </c>
      <c r="AA176" s="121">
        <f t="array" ref="AA176">ROUND(W176*H176,2)</f>
        <v/>
      </c>
      <c r="AB176" s="127">
        <f t="array" ref="AB176">ROUND(X176*H176,2)</f>
        <v/>
      </c>
      <c r="AC176" s="121">
        <f t="array" ref="AC176">ROUND(AA176+AB176,2)</f>
        <v/>
      </c>
      <c r="AD176" s="127">
        <f t="array" ref="AD176">ROUND((G176*H176)-AC176,2)</f>
        <v/>
      </c>
      <c r="AE176" s="54">
        <f t="array" ref="AE176">_xlfn.IFERROR(ROUND(AC176/(G176*H176),2),0)</f>
        <v/>
      </c>
      <c r="AF176" s="7" t="n"/>
      <c r="AG176" s="7" t="n"/>
      <c r="AH176" s="7" t="n"/>
      <c r="AI176" s="7" t="n"/>
      <c r="AJ176" s="7" t="n"/>
      <c r="AK176" s="7" t="n"/>
      <c r="AL176" s="7" t="n"/>
    </row>
    <row r="177" ht="199.8" customHeight="1" s="104">
      <c r="A177" s="44" t="inlineStr">
        <is>
          <t>3.74</t>
        </is>
      </c>
      <c r="B177" s="44" t="inlineStr">
        <is>
          <t>CONECTOR TIPO H OU C OU PF PARA CABO PASSANTE EM COBRE SEÇÃO 25MM2 E CABO DERIVAÇÃO EM COBRE SEÇÃO 2,5MM2</t>
        </is>
      </c>
      <c r="C177" s="44" t="inlineStr">
        <is>
          <t>PÇ</t>
        </is>
      </c>
      <c r="D177" s="45" t="n">
        <v>25</v>
      </c>
      <c r="E177" s="45" t="n"/>
      <c r="F177" s="45" t="n"/>
      <c r="G177" s="45">
        <f t="array" ref="G177">SUM(D177:F177)</f>
        <v/>
      </c>
      <c r="H177" s="121">
        <f t="array" ref="H177">VLOOKUP(A177,#REF!,5,0)</f>
        <v/>
      </c>
      <c r="I177" s="122" t="n">
        <v>0</v>
      </c>
      <c r="J177" s="123" t="n">
        <v>0</v>
      </c>
      <c r="K177" s="124" t="n">
        <v>0</v>
      </c>
      <c r="L177" s="123" t="n">
        <v>0</v>
      </c>
      <c r="M177" s="124" t="n">
        <v>0</v>
      </c>
      <c r="N177" s="124" t="n">
        <v>0</v>
      </c>
      <c r="O177" s="124" t="n">
        <v>0</v>
      </c>
      <c r="P177" s="124" t="n">
        <v>0</v>
      </c>
      <c r="Q177" s="124" t="n">
        <v>0</v>
      </c>
      <c r="R177" s="124" t="n">
        <v>0</v>
      </c>
      <c r="S177" s="124" t="n">
        <v>0</v>
      </c>
      <c r="T177" s="124" t="n">
        <v>0</v>
      </c>
      <c r="U177" s="124" t="n"/>
      <c r="V177" s="124" t="n"/>
      <c r="W177" s="125">
        <f t="array" ref="W177">SUM(I177:V177)</f>
        <v/>
      </c>
      <c r="X177" s="126" t="n">
        <v>0</v>
      </c>
      <c r="Y177" s="125">
        <f t="array" ref="Y177">W177+X177</f>
        <v/>
      </c>
      <c r="Z177" s="125">
        <f t="array" ref="Z177">G177-Y177</f>
        <v/>
      </c>
      <c r="AA177" s="121">
        <f t="array" ref="AA177">ROUND(W177*H177,2)</f>
        <v/>
      </c>
      <c r="AB177" s="127">
        <f t="array" ref="AB177">ROUND(X177*H177,2)</f>
        <v/>
      </c>
      <c r="AC177" s="121">
        <f t="array" ref="AC177">ROUND(AA177+AB177,2)</f>
        <v/>
      </c>
      <c r="AD177" s="127">
        <f t="array" ref="AD177">ROUND((G177*H177)-AC177,2)</f>
        <v/>
      </c>
      <c r="AE177" s="54">
        <f t="array" ref="AE177">_xlfn.IFERROR(ROUND(AC177/(G177*H177),2),0)</f>
        <v/>
      </c>
      <c r="AF177" s="7" t="n"/>
      <c r="AG177" s="7" t="n"/>
      <c r="AH177" s="7" t="n"/>
      <c r="AI177" s="7" t="n"/>
      <c r="AJ177" s="7" t="n"/>
      <c r="AK177" s="7" t="n"/>
      <c r="AL177" s="7" t="n"/>
    </row>
    <row r="178" ht="133.2" customHeight="1" s="104">
      <c r="A178" s="44" t="inlineStr">
        <is>
          <t>3.75</t>
        </is>
      </c>
      <c r="B178" s="44" t="inlineStr">
        <is>
          <t>CONJUNTO FUSÍVEL DIAZED, 6A, COMPLETO COM TRILHO, BASE, ANEL DE PROTEÇÃO, TAMPA E COBERTURA</t>
        </is>
      </c>
      <c r="C178" s="44" t="inlineStr">
        <is>
          <t>CJ</t>
        </is>
      </c>
      <c r="D178" s="45" t="n">
        <v>5</v>
      </c>
      <c r="E178" s="45" t="n"/>
      <c r="F178" s="45" t="n"/>
      <c r="G178" s="45">
        <f t="array" ref="G178">SUM(D178:F178)</f>
        <v/>
      </c>
      <c r="H178" s="121">
        <f t="array" ref="H178">VLOOKUP(A178,#REF!,5,0)</f>
        <v/>
      </c>
      <c r="I178" s="122" t="n">
        <v>0</v>
      </c>
      <c r="J178" s="123" t="n">
        <v>0</v>
      </c>
      <c r="K178" s="124" t="n">
        <v>0</v>
      </c>
      <c r="L178" s="123" t="n">
        <v>0</v>
      </c>
      <c r="M178" s="124" t="n">
        <v>0</v>
      </c>
      <c r="N178" s="124" t="n">
        <v>0</v>
      </c>
      <c r="O178" s="124" t="n">
        <v>0</v>
      </c>
      <c r="P178" s="124" t="n">
        <v>0</v>
      </c>
      <c r="Q178" s="124" t="n">
        <v>0</v>
      </c>
      <c r="R178" s="124" t="n">
        <v>0</v>
      </c>
      <c r="S178" s="124" t="n">
        <v>0</v>
      </c>
      <c r="T178" s="124" t="n">
        <v>0</v>
      </c>
      <c r="U178" s="124" t="n"/>
      <c r="V178" s="124" t="n"/>
      <c r="W178" s="125">
        <f t="array" ref="W178">SUM(I178:V178)</f>
        <v/>
      </c>
      <c r="X178" s="126" t="n">
        <v>0</v>
      </c>
      <c r="Y178" s="125">
        <f t="array" ref="Y178">W178+X178</f>
        <v/>
      </c>
      <c r="Z178" s="125">
        <f t="array" ref="Z178">G178-Y178</f>
        <v/>
      </c>
      <c r="AA178" s="121">
        <f t="array" ref="AA178">ROUND(W178*H178,2)</f>
        <v/>
      </c>
      <c r="AB178" s="127">
        <f t="array" ref="AB178">ROUND(X178*H178,2)</f>
        <v/>
      </c>
      <c r="AC178" s="121">
        <f t="array" ref="AC178">ROUND(AA178+AB178,2)</f>
        <v/>
      </c>
      <c r="AD178" s="127">
        <f t="array" ref="AD178">ROUND((G178*H178)-AC178,2)</f>
        <v/>
      </c>
      <c r="AE178" s="54">
        <f t="array" ref="AE178">_xlfn.IFERROR(ROUND(AC178/(G178*H178),2),0)</f>
        <v/>
      </c>
      <c r="AF178" s="7" t="n"/>
      <c r="AG178" s="7" t="n"/>
      <c r="AH178" s="7" t="n"/>
      <c r="AI178" s="7" t="n"/>
      <c r="AJ178" s="7" t="n"/>
      <c r="AK178" s="7" t="n"/>
      <c r="AL178" s="7" t="n"/>
    </row>
    <row r="179" ht="133.2" customHeight="1" s="104">
      <c r="A179" s="44" t="inlineStr">
        <is>
          <t>3.76</t>
        </is>
      </c>
      <c r="B179" s="44" t="inlineStr">
        <is>
          <t>CONJUNTO FUSÍVEL NEOZED, 4A, COMPLETO COM TRILHO, COM BASE, TAMPA E ANEL DE AJUSTE</t>
        </is>
      </c>
      <c r="C179" s="44" t="inlineStr">
        <is>
          <t>CJ</t>
        </is>
      </c>
      <c r="D179" s="45" t="n">
        <v>7</v>
      </c>
      <c r="E179" s="45" t="n"/>
      <c r="F179" s="45" t="n"/>
      <c r="G179" s="45">
        <f t="array" ref="G179">SUM(D179:F179)</f>
        <v/>
      </c>
      <c r="H179" s="121">
        <f t="array" ref="H179">VLOOKUP(A179,#REF!,5,0)</f>
        <v/>
      </c>
      <c r="I179" s="122" t="n">
        <v>0</v>
      </c>
      <c r="J179" s="123" t="n">
        <v>0</v>
      </c>
      <c r="K179" s="124" t="n">
        <v>0</v>
      </c>
      <c r="L179" s="123" t="n">
        <v>0</v>
      </c>
      <c r="M179" s="124" t="n">
        <v>0</v>
      </c>
      <c r="N179" s="124" t="n">
        <v>0</v>
      </c>
      <c r="O179" s="124" t="n">
        <v>0</v>
      </c>
      <c r="P179" s="124" t="n">
        <v>0</v>
      </c>
      <c r="Q179" s="124" t="n">
        <v>0</v>
      </c>
      <c r="R179" s="124" t="n">
        <v>0</v>
      </c>
      <c r="S179" s="124" t="n">
        <v>0</v>
      </c>
      <c r="T179" s="124" t="n">
        <v>0</v>
      </c>
      <c r="U179" s="124" t="n"/>
      <c r="V179" s="124" t="n"/>
      <c r="W179" s="125">
        <f t="array" ref="W179">SUM(I179:V179)</f>
        <v/>
      </c>
      <c r="X179" s="126" t="n">
        <v>0</v>
      </c>
      <c r="Y179" s="125">
        <f t="array" ref="Y179">W179+X179</f>
        <v/>
      </c>
      <c r="Z179" s="125">
        <f t="array" ref="Z179">G179-Y179</f>
        <v/>
      </c>
      <c r="AA179" s="121">
        <f t="array" ref="AA179">ROUND(W179*H179,2)</f>
        <v/>
      </c>
      <c r="AB179" s="127">
        <f t="array" ref="AB179">ROUND(X179*H179,2)</f>
        <v/>
      </c>
      <c r="AC179" s="121">
        <f t="array" ref="AC179">ROUND(AA179+AB179,2)</f>
        <v/>
      </c>
      <c r="AD179" s="127">
        <f t="array" ref="AD179">ROUND((G179*H179)-AC179,2)</f>
        <v/>
      </c>
      <c r="AE179" s="54">
        <f t="array" ref="AE179">_xlfn.IFERROR(ROUND(AC179/(G179*H179),2),0)</f>
        <v/>
      </c>
      <c r="AF179" s="7" t="n"/>
      <c r="AG179" s="7" t="n"/>
      <c r="AH179" s="7" t="n"/>
      <c r="AI179" s="7" t="n"/>
      <c r="AJ179" s="7" t="n"/>
      <c r="AK179" s="7" t="n"/>
      <c r="AL179" s="7" t="n"/>
    </row>
    <row r="180" ht="133.2" customHeight="1" s="104">
      <c r="A180" s="44" t="inlineStr">
        <is>
          <t>3.77</t>
        </is>
      </c>
      <c r="B180" s="44" t="inlineStr">
        <is>
          <t>CONJUNTO FUSÍVEL NEOZED, 6A, COMPLETO COM TRILHO, COM BASE, TAMPA E ANEL DE AJUSTE</t>
        </is>
      </c>
      <c r="C180" s="44" t="inlineStr">
        <is>
          <t>CJ</t>
        </is>
      </c>
      <c r="D180" s="45" t="n">
        <v>5</v>
      </c>
      <c r="E180" s="45" t="n"/>
      <c r="F180" s="45" t="n"/>
      <c r="G180" s="45">
        <f t="array" ref="G180">SUM(D180:F180)</f>
        <v/>
      </c>
      <c r="H180" s="121">
        <f t="array" ref="H180">VLOOKUP(A180,#REF!,5,0)</f>
        <v/>
      </c>
      <c r="I180" s="122" t="n">
        <v>0</v>
      </c>
      <c r="J180" s="123" t="n">
        <v>0</v>
      </c>
      <c r="K180" s="124" t="n">
        <v>0</v>
      </c>
      <c r="L180" s="123" t="n">
        <v>0</v>
      </c>
      <c r="M180" s="124" t="n">
        <v>0</v>
      </c>
      <c r="N180" s="124" t="n">
        <v>0</v>
      </c>
      <c r="O180" s="124" t="n">
        <v>0</v>
      </c>
      <c r="P180" s="124" t="n">
        <v>0</v>
      </c>
      <c r="Q180" s="124" t="n">
        <v>0</v>
      </c>
      <c r="R180" s="124" t="n">
        <v>0</v>
      </c>
      <c r="S180" s="124" t="n">
        <v>0</v>
      </c>
      <c r="T180" s="124" t="n">
        <v>0</v>
      </c>
      <c r="U180" s="124" t="n"/>
      <c r="V180" s="124" t="n"/>
      <c r="W180" s="125">
        <f t="array" ref="W180">SUM(I180:V180)</f>
        <v/>
      </c>
      <c r="X180" s="126" t="n">
        <v>0</v>
      </c>
      <c r="Y180" s="125">
        <f t="array" ref="Y180">W180+X180</f>
        <v/>
      </c>
      <c r="Z180" s="125">
        <f t="array" ref="Z180">G180-Y180</f>
        <v/>
      </c>
      <c r="AA180" s="121">
        <f t="array" ref="AA180">ROUND(W180*H180,2)</f>
        <v/>
      </c>
      <c r="AB180" s="127">
        <f t="array" ref="AB180">ROUND(X180*H180,2)</f>
        <v/>
      </c>
      <c r="AC180" s="121">
        <f t="array" ref="AC180">ROUND(AA180+AB180,2)</f>
        <v/>
      </c>
      <c r="AD180" s="127">
        <f t="array" ref="AD180">ROUND((G180*H180)-AC180,2)</f>
        <v/>
      </c>
      <c r="AE180" s="54">
        <f t="array" ref="AE180">_xlfn.IFERROR(ROUND(AC180/(G180*H180),2),0)</f>
        <v/>
      </c>
      <c r="AF180" s="7" t="n"/>
      <c r="AG180" s="7" t="n"/>
      <c r="AH180" s="7" t="n"/>
      <c r="AI180" s="7" t="n"/>
      <c r="AJ180" s="7" t="n"/>
      <c r="AK180" s="7" t="n"/>
      <c r="AL180" s="7" t="n"/>
    </row>
    <row r="181" ht="133.2" customHeight="1" s="104">
      <c r="A181" s="44" t="inlineStr">
        <is>
          <t>3.78</t>
        </is>
      </c>
      <c r="B181" s="44" t="inlineStr">
        <is>
          <t>CONTATOR TRIPOLAR, 32A, 220 VCA, 50/60HZ, CATEGORIA AC3, FIXAÇÃO EM TRILHO DIN 35MM</t>
        </is>
      </c>
      <c r="C181" s="44" t="inlineStr">
        <is>
          <t>PÇ</t>
        </is>
      </c>
      <c r="D181" s="45" t="n">
        <v>10</v>
      </c>
      <c r="E181" s="45" t="n"/>
      <c r="F181" s="45" t="n"/>
      <c r="G181" s="45">
        <f t="array" ref="G181">SUM(D181:F181)</f>
        <v/>
      </c>
      <c r="H181" s="121">
        <f t="array" ref="H181">VLOOKUP(A181,#REF!,5,0)</f>
        <v/>
      </c>
      <c r="I181" s="122" t="n">
        <v>0</v>
      </c>
      <c r="J181" s="123" t="n">
        <v>0</v>
      </c>
      <c r="K181" s="124" t="n">
        <v>0</v>
      </c>
      <c r="L181" s="123" t="n">
        <v>0</v>
      </c>
      <c r="M181" s="124" t="n">
        <v>1</v>
      </c>
      <c r="N181" s="124" t="n">
        <v>0</v>
      </c>
      <c r="O181" s="124" t="n">
        <v>0</v>
      </c>
      <c r="P181" s="124" t="n">
        <v>0</v>
      </c>
      <c r="Q181" s="124" t="n">
        <v>1</v>
      </c>
      <c r="R181" s="124" t="n">
        <v>0</v>
      </c>
      <c r="S181" s="124" t="n">
        <v>0</v>
      </c>
      <c r="T181" s="124" t="n">
        <v>1</v>
      </c>
      <c r="U181" s="124" t="n"/>
      <c r="V181" s="124" t="n"/>
      <c r="W181" s="125">
        <f t="array" ref="W181">SUM(I181:V181)</f>
        <v/>
      </c>
      <c r="X181" s="126" t="n">
        <v>0</v>
      </c>
      <c r="Y181" s="125">
        <f t="array" ref="Y181">W181+X181</f>
        <v/>
      </c>
      <c r="Z181" s="125">
        <f t="array" ref="Z181">G181-Y181</f>
        <v/>
      </c>
      <c r="AA181" s="121">
        <f t="array" ref="AA181">ROUND(W181*H181,2)</f>
        <v/>
      </c>
      <c r="AB181" s="127">
        <f t="array" ref="AB181">ROUND(X181*H181,2)</f>
        <v/>
      </c>
      <c r="AC181" s="121">
        <f t="array" ref="AC181">ROUND(AA181+AB181,2)</f>
        <v/>
      </c>
      <c r="AD181" s="127">
        <f t="array" ref="AD181">ROUND((G181*H181)-AC181,2)</f>
        <v/>
      </c>
      <c r="AE181" s="54">
        <f t="array" ref="AE181">_xlfn.IFERROR(ROUND(AC181/(G181*H181),2),0)</f>
        <v/>
      </c>
      <c r="AF181" s="7" t="n"/>
      <c r="AG181" s="7" t="n"/>
      <c r="AH181" s="7" t="n"/>
      <c r="AI181" s="7" t="n"/>
      <c r="AJ181" s="7" t="n"/>
      <c r="AK181" s="7" t="n"/>
      <c r="AL181" s="7" t="n"/>
    </row>
    <row r="182" ht="409.6" customHeight="1" s="104">
      <c r="A182" s="44" t="inlineStr">
        <is>
          <t>3.79</t>
        </is>
      </c>
      <c r="B182" s="44" t="inlineStr">
        <is>
          <t>CORDA (MANGUEIRA) LUMINOSA FLEXÍVEL COM LED'S DE ALTO BRILHO, NAS CORES BRANCO, VERMELHO, AZUL, AMARELO OU VERDE, DIÂMETRO 10 MM, 2,4 W POR METRO, 36 LED'S POR METRO, UNIDADE DE CORTE A CADA 2 METROS, ALIMENTAÇÃO 220 V, 60 HZ, VIDA MEDIANA 80.000 HORAS, COM PROTEÇÃO CONTRA RADIAÇÃO UV, PARA USO AO TEMPO</t>
        </is>
      </c>
      <c r="C182" s="44" t="inlineStr">
        <is>
          <t>M</t>
        </is>
      </c>
      <c r="D182" s="45" t="n">
        <v>10</v>
      </c>
      <c r="E182" s="45" t="n"/>
      <c r="F182" s="45" t="n"/>
      <c r="G182" s="45">
        <f t="array" ref="G182">SUM(D182:F182)</f>
        <v/>
      </c>
      <c r="H182" s="121">
        <f t="array" ref="H182">VLOOKUP(A182,#REF!,5,0)</f>
        <v/>
      </c>
      <c r="I182" s="122" t="n">
        <v>0</v>
      </c>
      <c r="J182" s="123" t="n">
        <v>0</v>
      </c>
      <c r="K182" s="124" t="n">
        <v>0</v>
      </c>
      <c r="L182" s="123" t="n">
        <v>0</v>
      </c>
      <c r="M182" s="124" t="n">
        <v>0</v>
      </c>
      <c r="N182" s="124" t="n">
        <v>0</v>
      </c>
      <c r="O182" s="124" t="n">
        <v>0</v>
      </c>
      <c r="P182" s="124" t="n">
        <v>0</v>
      </c>
      <c r="Q182" s="124" t="n">
        <v>0</v>
      </c>
      <c r="R182" s="124" t="n">
        <v>0</v>
      </c>
      <c r="S182" s="124" t="n">
        <v>0</v>
      </c>
      <c r="T182" s="124" t="n">
        <v>0</v>
      </c>
      <c r="U182" s="124" t="n"/>
      <c r="V182" s="124" t="n"/>
      <c r="W182" s="125">
        <f t="array" ref="W182">SUM(I182:V182)</f>
        <v/>
      </c>
      <c r="X182" s="126" t="n">
        <v>0</v>
      </c>
      <c r="Y182" s="125">
        <f t="array" ref="Y182">W182+X182</f>
        <v/>
      </c>
      <c r="Z182" s="125">
        <f t="array" ref="Z182">G182-Y182</f>
        <v/>
      </c>
      <c r="AA182" s="121">
        <f t="array" ref="AA182">ROUND(W182*H182,2)</f>
        <v/>
      </c>
      <c r="AB182" s="127">
        <f t="array" ref="AB182">ROUND(X182*H182,2)</f>
        <v/>
      </c>
      <c r="AC182" s="121">
        <f t="array" ref="AC182">ROUND(AA182+AB182,2)</f>
        <v/>
      </c>
      <c r="AD182" s="127">
        <f t="array" ref="AD182">ROUND((G182*H182)-AC182,2)</f>
        <v/>
      </c>
      <c r="AE182" s="54">
        <f t="array" ref="AE182">_xlfn.IFERROR(ROUND(AC182/(G182*H182),2),0)</f>
        <v/>
      </c>
      <c r="AF182" s="7" t="n"/>
      <c r="AG182" s="7" t="n"/>
      <c r="AH182" s="7" t="n"/>
      <c r="AI182" s="7" t="n"/>
      <c r="AJ182" s="7" t="n"/>
      <c r="AK182" s="7" t="n"/>
      <c r="AL182" s="7" t="n"/>
    </row>
    <row r="183" ht="333" customHeight="1" s="104">
      <c r="A183" s="44" t="inlineStr">
        <is>
          <t>3.80</t>
        </is>
      </c>
      <c r="B183" s="44" t="inlineStr">
        <is>
          <t>CORDA (MANGUEIRA) LUMINOSA FLEXÍVEL COM MICRO LÂMPADAS, NAS CORES BRANCO, VERMELHO, AZUL, AMARELO OU VERDE, DIÂMETRO 13MM, 2 FIOS, 220V, EM PVC MACIÇO ANTICHAMA, INCOLOR, PARA USO EXTERNO AO TEMPO</t>
        </is>
      </c>
      <c r="C183" s="44" t="inlineStr">
        <is>
          <t>M</t>
        </is>
      </c>
      <c r="D183" s="45" t="n">
        <v>10</v>
      </c>
      <c r="E183" s="45" t="n"/>
      <c r="F183" s="45" t="n"/>
      <c r="G183" s="45">
        <f t="array" ref="G183">SUM(D183:F183)</f>
        <v/>
      </c>
      <c r="H183" s="121">
        <f t="array" ref="H183">VLOOKUP(A183,#REF!,5,0)</f>
        <v/>
      </c>
      <c r="I183" s="122" t="n">
        <v>0</v>
      </c>
      <c r="J183" s="123" t="n">
        <v>0</v>
      </c>
      <c r="K183" s="124" t="n">
        <v>0</v>
      </c>
      <c r="L183" s="123" t="n">
        <v>0</v>
      </c>
      <c r="M183" s="124" t="n">
        <v>0</v>
      </c>
      <c r="N183" s="124" t="n">
        <v>0</v>
      </c>
      <c r="O183" s="124" t="n">
        <v>5</v>
      </c>
      <c r="P183" s="124" t="n">
        <v>0</v>
      </c>
      <c r="Q183" s="124" t="n">
        <v>0</v>
      </c>
      <c r="R183" s="124" t="n">
        <v>0</v>
      </c>
      <c r="S183" s="124" t="n">
        <v>0</v>
      </c>
      <c r="T183" s="124" t="n">
        <v>0</v>
      </c>
      <c r="U183" s="124" t="n"/>
      <c r="V183" s="124" t="n"/>
      <c r="W183" s="125">
        <f t="array" ref="W183">SUM(I183:V183)</f>
        <v/>
      </c>
      <c r="X183" s="126" t="n">
        <v>0</v>
      </c>
      <c r="Y183" s="125">
        <f t="array" ref="Y183">W183+X183</f>
        <v/>
      </c>
      <c r="Z183" s="125">
        <f t="array" ref="Z183">G183-Y183</f>
        <v/>
      </c>
      <c r="AA183" s="121">
        <f t="array" ref="AA183">ROUND(W183*H183,2)</f>
        <v/>
      </c>
      <c r="AB183" s="127">
        <f t="array" ref="AB183">ROUND(X183*H183,2)</f>
        <v/>
      </c>
      <c r="AC183" s="121">
        <f t="array" ref="AC183">ROUND(AA183+AB183,2)</f>
        <v/>
      </c>
      <c r="AD183" s="127">
        <f t="array" ref="AD183">ROUND((G183*H183)-AC183,2)</f>
        <v/>
      </c>
      <c r="AE183" s="54">
        <f t="array" ref="AE183">_xlfn.IFERROR(ROUND(AC183/(G183*H183),2),0)</f>
        <v/>
      </c>
      <c r="AF183" s="7" t="n"/>
      <c r="AG183" s="7" t="n"/>
      <c r="AH183" s="7" t="n"/>
      <c r="AI183" s="7" t="n"/>
      <c r="AJ183" s="7" t="n"/>
      <c r="AK183" s="7" t="n"/>
      <c r="AL183" s="7" t="n"/>
    </row>
    <row r="184" ht="333" customHeight="1" s="104">
      <c r="A184" s="44" t="inlineStr">
        <is>
          <t>3.81</t>
        </is>
      </c>
      <c r="B184" s="44" t="inlineStr">
        <is>
          <t>CORDÃO DE NATAL COM 100 MICRO LÂMPADAS INCANDESCENTES NA COR BRANCA, VERMELHA, AZUL, AMARELA, VERDE OU COLORIDO, COM OU SEM PISCA-PISCA, 220V, 60 HZ, POTÊNCIA MÁXIMA 50 W, PARA USO AO TEMPO, PADRÃO UL</t>
        </is>
      </c>
      <c r="C184" s="44" t="inlineStr">
        <is>
          <t>PÇ</t>
        </is>
      </c>
      <c r="D184" s="45" t="n">
        <v>15</v>
      </c>
      <c r="E184" s="45" t="n"/>
      <c r="F184" s="45" t="n"/>
      <c r="G184" s="45">
        <f t="array" ref="G184">SUM(D184:F184)</f>
        <v/>
      </c>
      <c r="H184" s="121">
        <f t="array" ref="H184">VLOOKUP(A184,#REF!,5,0)</f>
        <v/>
      </c>
      <c r="I184" s="122" t="n">
        <v>0</v>
      </c>
      <c r="J184" s="123" t="n">
        <v>0</v>
      </c>
      <c r="K184" s="124" t="n">
        <v>0</v>
      </c>
      <c r="L184" s="123" t="n">
        <v>0</v>
      </c>
      <c r="M184" s="124" t="n">
        <v>0</v>
      </c>
      <c r="N184" s="124" t="n">
        <v>0</v>
      </c>
      <c r="O184" s="124" t="n">
        <v>0</v>
      </c>
      <c r="P184" s="124" t="n">
        <v>0</v>
      </c>
      <c r="Q184" s="124" t="n">
        <v>0</v>
      </c>
      <c r="R184" s="124" t="n">
        <v>0</v>
      </c>
      <c r="S184" s="124" t="n">
        <v>0</v>
      </c>
      <c r="T184" s="124" t="n">
        <v>0</v>
      </c>
      <c r="U184" s="124" t="n"/>
      <c r="V184" s="124" t="n"/>
      <c r="W184" s="125">
        <f t="array" ref="W184">SUM(I184:V184)</f>
        <v/>
      </c>
      <c r="X184" s="126" t="n">
        <v>0</v>
      </c>
      <c r="Y184" s="125">
        <f t="array" ref="Y184">W184+X184</f>
        <v/>
      </c>
      <c r="Z184" s="125">
        <f t="array" ref="Z184">G184-Y184</f>
        <v/>
      </c>
      <c r="AA184" s="121">
        <f t="array" ref="AA184">ROUND(W184*H184,2)</f>
        <v/>
      </c>
      <c r="AB184" s="127">
        <f t="array" ref="AB184">ROUND(X184*H184,2)</f>
        <v/>
      </c>
      <c r="AC184" s="121">
        <f t="array" ref="AC184">ROUND(AA184+AB184,2)</f>
        <v/>
      </c>
      <c r="AD184" s="127">
        <f t="array" ref="AD184">ROUND((G184*H184)-AC184,2)</f>
        <v/>
      </c>
      <c r="AE184" s="54">
        <f t="array" ref="AE184">_xlfn.IFERROR(ROUND(AC184/(G184*H184),2),0)</f>
        <v/>
      </c>
      <c r="AF184" s="7" t="n"/>
      <c r="AG184" s="7" t="n"/>
      <c r="AH184" s="7" t="n"/>
      <c r="AI184" s="7" t="n"/>
      <c r="AJ184" s="7" t="n"/>
      <c r="AK184" s="7" t="n"/>
      <c r="AL184" s="7" t="n"/>
    </row>
    <row r="185" ht="409.6" customHeight="1" s="104">
      <c r="A185" s="44" t="inlineStr">
        <is>
          <t>3.82</t>
        </is>
      </c>
      <c r="B185" s="44" t="inlineStr">
        <is>
          <t>CORDÃO DE NATAL COM 96  LED'S DE ALTO BRILHO, NA COR BRANCA, VERMELHA, AZUL, AMARELA OU VERDE, OU COLORIDO,  220 V, 60 HZ, POTÊNCIA MÁXIMA 10 W, PLUGUE COM FUSÍVEL 3 A/250 V, COM CONTROLE ELETRÔNICO DE PISCA-PISCA COM 8 FUNÇÕES, COMPRIMENTO MÍNIMO DE 5,50 METROS, PARA USO AO TEMPO, PADRÃO UL</t>
        </is>
      </c>
      <c r="C185" s="44" t="inlineStr">
        <is>
          <t>PÇ</t>
        </is>
      </c>
      <c r="D185" s="45" t="n">
        <v>50</v>
      </c>
      <c r="E185" s="45" t="n"/>
      <c r="F185" s="45" t="n"/>
      <c r="G185" s="45">
        <f t="array" ref="G185">SUM(D185:F185)</f>
        <v/>
      </c>
      <c r="H185" s="121">
        <f t="array" ref="H185">VLOOKUP(A185,#REF!,5,0)</f>
        <v/>
      </c>
      <c r="I185" s="122" t="n">
        <v>0</v>
      </c>
      <c r="J185" s="123" t="n">
        <v>0</v>
      </c>
      <c r="K185" s="124" t="n">
        <v>0</v>
      </c>
      <c r="L185" s="123" t="n">
        <v>0</v>
      </c>
      <c r="M185" s="124" t="n">
        <v>0</v>
      </c>
      <c r="N185" s="124" t="n">
        <v>0</v>
      </c>
      <c r="O185" s="124" t="n">
        <v>0</v>
      </c>
      <c r="P185" s="124" t="n">
        <v>0</v>
      </c>
      <c r="Q185" s="124" t="n">
        <v>0</v>
      </c>
      <c r="R185" s="124" t="n">
        <v>0</v>
      </c>
      <c r="S185" s="124" t="n">
        <v>0</v>
      </c>
      <c r="T185" s="124" t="n">
        <v>0</v>
      </c>
      <c r="U185" s="124" t="n"/>
      <c r="V185" s="124" t="n"/>
      <c r="W185" s="125">
        <f t="array" ref="W185">SUM(I185:V185)</f>
        <v/>
      </c>
      <c r="X185" s="126" t="n">
        <v>0</v>
      </c>
      <c r="Y185" s="125">
        <f t="array" ref="Y185">W185+X185</f>
        <v/>
      </c>
      <c r="Z185" s="125">
        <f t="array" ref="Z185">G185-Y185</f>
        <v/>
      </c>
      <c r="AA185" s="121">
        <f t="array" ref="AA185">ROUND(W185*H185,2)</f>
        <v/>
      </c>
      <c r="AB185" s="127">
        <f t="array" ref="AB185">ROUND(X185*H185,2)</f>
        <v/>
      </c>
      <c r="AC185" s="121">
        <f t="array" ref="AC185">ROUND(AA185+AB185,2)</f>
        <v/>
      </c>
      <c r="AD185" s="127">
        <f t="array" ref="AD185">ROUND((G185*H185)-AC185,2)</f>
        <v/>
      </c>
      <c r="AE185" s="54">
        <f t="array" ref="AE185">_xlfn.IFERROR(ROUND(AC185/(G185*H185),2),0)</f>
        <v/>
      </c>
      <c r="AF185" s="7" t="n"/>
      <c r="AG185" s="7" t="n"/>
      <c r="AH185" s="7" t="n"/>
      <c r="AI185" s="7" t="n"/>
      <c r="AJ185" s="7" t="n"/>
      <c r="AK185" s="7" t="n"/>
      <c r="AL185" s="7" t="n"/>
    </row>
    <row r="186" ht="66.59999999999999" customHeight="1" s="104">
      <c r="A186" s="44" t="inlineStr">
        <is>
          <t>3.83</t>
        </is>
      </c>
      <c r="B186" s="44" t="inlineStr">
        <is>
          <t>CRUZETA DE CONCRETO 90X112,5X2100MM</t>
        </is>
      </c>
      <c r="C186" s="44" t="inlineStr">
        <is>
          <t>PÇ</t>
        </is>
      </c>
      <c r="D186" s="45" t="n">
        <v>2</v>
      </c>
      <c r="E186" s="45" t="n"/>
      <c r="F186" s="45" t="n"/>
      <c r="G186" s="45">
        <f t="array" ref="G186">SUM(D186:F186)</f>
        <v/>
      </c>
      <c r="H186" s="121">
        <f t="array" ref="H186">VLOOKUP(A186,#REF!,5,0)</f>
        <v/>
      </c>
      <c r="I186" s="122" t="n">
        <v>0</v>
      </c>
      <c r="J186" s="123" t="n">
        <v>0</v>
      </c>
      <c r="K186" s="124" t="n">
        <v>0</v>
      </c>
      <c r="L186" s="123" t="n">
        <v>0</v>
      </c>
      <c r="M186" s="124" t="n">
        <v>0</v>
      </c>
      <c r="N186" s="124" t="n">
        <v>0</v>
      </c>
      <c r="O186" s="124" t="n">
        <v>0</v>
      </c>
      <c r="P186" s="124" t="n">
        <v>0</v>
      </c>
      <c r="Q186" s="124" t="n">
        <v>0</v>
      </c>
      <c r="R186" s="124" t="n">
        <v>0</v>
      </c>
      <c r="S186" s="124" t="n">
        <v>0</v>
      </c>
      <c r="T186" s="124" t="n">
        <v>0</v>
      </c>
      <c r="U186" s="124" t="n"/>
      <c r="V186" s="124" t="n"/>
      <c r="W186" s="125">
        <f t="array" ref="W186">SUM(I186:V186)</f>
        <v/>
      </c>
      <c r="X186" s="126" t="n">
        <v>0</v>
      </c>
      <c r="Y186" s="125">
        <f t="array" ref="Y186">W186+X186</f>
        <v/>
      </c>
      <c r="Z186" s="125">
        <f t="array" ref="Z186">G186-Y186</f>
        <v/>
      </c>
      <c r="AA186" s="121">
        <f t="array" ref="AA186">ROUND(W186*H186,2)</f>
        <v/>
      </c>
      <c r="AB186" s="127">
        <f t="array" ref="AB186">ROUND(X186*H186,2)</f>
        <v/>
      </c>
      <c r="AC186" s="121">
        <f t="array" ref="AC186">ROUND(AA186+AB186,2)</f>
        <v/>
      </c>
      <c r="AD186" s="127">
        <f t="array" ref="AD186">ROUND((G186*H186)-AC186,2)</f>
        <v/>
      </c>
      <c r="AE186" s="54">
        <f t="array" ref="AE186">_xlfn.IFERROR(ROUND(AC186/(G186*H186),2),0)</f>
        <v/>
      </c>
      <c r="AF186" s="7" t="n"/>
      <c r="AG186" s="7" t="n"/>
      <c r="AH186" s="7" t="n"/>
      <c r="AI186" s="7" t="n"/>
      <c r="AJ186" s="7" t="n"/>
      <c r="AK186" s="7" t="n"/>
      <c r="AL186" s="7" t="n"/>
    </row>
    <row r="187" ht="133.2" customHeight="1" s="104">
      <c r="A187" s="44" t="inlineStr">
        <is>
          <t>3.84</t>
        </is>
      </c>
      <c r="B187" s="44" t="inlineStr">
        <is>
          <t>CURVA DE AÇO GALVANIZADO À FOGO, Ø  11/2" X 90º, COM LUVA</t>
        </is>
      </c>
      <c r="C187" s="44" t="inlineStr">
        <is>
          <t>PÇ</t>
        </is>
      </c>
      <c r="D187" s="45" t="n">
        <v>5</v>
      </c>
      <c r="E187" s="45" t="n"/>
      <c r="F187" s="45" t="n"/>
      <c r="G187" s="45">
        <f t="array" ref="G187">SUM(D187:F187)</f>
        <v/>
      </c>
      <c r="H187" s="121">
        <f t="array" ref="H187">VLOOKUP(A187,#REF!,5,0)</f>
        <v/>
      </c>
      <c r="I187" s="122" t="n">
        <v>0</v>
      </c>
      <c r="J187" s="123" t="n">
        <v>0</v>
      </c>
      <c r="K187" s="124" t="n">
        <v>0</v>
      </c>
      <c r="L187" s="123" t="n">
        <v>0</v>
      </c>
      <c r="M187" s="124" t="n">
        <v>0</v>
      </c>
      <c r="N187" s="124" t="n">
        <v>0</v>
      </c>
      <c r="O187" s="124" t="n">
        <v>0</v>
      </c>
      <c r="P187" s="124" t="n">
        <v>0</v>
      </c>
      <c r="Q187" s="124" t="n">
        <v>0</v>
      </c>
      <c r="R187" s="124" t="n">
        <v>0</v>
      </c>
      <c r="S187" s="124" t="n">
        <v>0</v>
      </c>
      <c r="T187" s="124" t="n">
        <v>0</v>
      </c>
      <c r="U187" s="124" t="n"/>
      <c r="V187" s="124" t="n"/>
      <c r="W187" s="125">
        <f t="array" ref="W187">SUM(I187:V187)</f>
        <v/>
      </c>
      <c r="X187" s="126" t="n">
        <v>0</v>
      </c>
      <c r="Y187" s="125">
        <f t="array" ref="Y187">W187+X187</f>
        <v/>
      </c>
      <c r="Z187" s="125">
        <f t="array" ref="Z187">G187-Y187</f>
        <v/>
      </c>
      <c r="AA187" s="121">
        <f t="array" ref="AA187">ROUND(W187*H187,2)</f>
        <v/>
      </c>
      <c r="AB187" s="127">
        <f t="array" ref="AB187">ROUND(X187*H187,2)</f>
        <v/>
      </c>
      <c r="AC187" s="121">
        <f t="array" ref="AC187">ROUND(AA187+AB187,2)</f>
        <v/>
      </c>
      <c r="AD187" s="127">
        <f t="array" ref="AD187">ROUND((G187*H187)-AC187,2)</f>
        <v/>
      </c>
      <c r="AE187" s="54">
        <f t="array" ref="AE187">_xlfn.IFERROR(ROUND(AC187/(G187*H187),2),0)</f>
        <v/>
      </c>
      <c r="AF187" s="7" t="n"/>
      <c r="AG187" s="7" t="n"/>
      <c r="AH187" s="7" t="n"/>
      <c r="AI187" s="7" t="n"/>
      <c r="AJ187" s="7" t="n"/>
      <c r="AK187" s="7" t="n"/>
      <c r="AL187" s="7" t="n"/>
    </row>
    <row r="188" ht="133.2" customHeight="1" s="104">
      <c r="A188" s="44" t="inlineStr">
        <is>
          <t>3.85</t>
        </is>
      </c>
      <c r="B188" s="44" t="inlineStr">
        <is>
          <t>CURVA DE AÇO GALVANIZADO À FOGO, Ø  2" X 90º, COM LUVA</t>
        </is>
      </c>
      <c r="C188" s="44" t="inlineStr">
        <is>
          <t>PÇ</t>
        </is>
      </c>
      <c r="D188" s="45" t="n">
        <v>2</v>
      </c>
      <c r="E188" s="45" t="n"/>
      <c r="F188" s="45" t="n"/>
      <c r="G188" s="45">
        <f t="array" ref="G188">SUM(D188:F188)</f>
        <v/>
      </c>
      <c r="H188" s="121">
        <f t="array" ref="H188">VLOOKUP(A188,#REF!,5,0)</f>
        <v/>
      </c>
      <c r="I188" s="122" t="n">
        <v>0</v>
      </c>
      <c r="J188" s="123" t="n">
        <v>0</v>
      </c>
      <c r="K188" s="124" t="n">
        <v>0</v>
      </c>
      <c r="L188" s="123" t="n">
        <v>0</v>
      </c>
      <c r="M188" s="124" t="n">
        <v>0</v>
      </c>
      <c r="N188" s="124" t="n">
        <v>0</v>
      </c>
      <c r="O188" s="124" t="n">
        <v>0</v>
      </c>
      <c r="P188" s="124" t="n">
        <v>0</v>
      </c>
      <c r="Q188" s="124" t="n">
        <v>0</v>
      </c>
      <c r="R188" s="124" t="n">
        <v>0</v>
      </c>
      <c r="S188" s="124" t="n">
        <v>0</v>
      </c>
      <c r="T188" s="124" t="n">
        <v>0</v>
      </c>
      <c r="U188" s="124" t="n"/>
      <c r="V188" s="124" t="n"/>
      <c r="W188" s="125">
        <f t="array" ref="W188">SUM(I188:V188)</f>
        <v/>
      </c>
      <c r="X188" s="126" t="n">
        <v>0</v>
      </c>
      <c r="Y188" s="125">
        <f t="array" ref="Y188">W188+X188</f>
        <v/>
      </c>
      <c r="Z188" s="125">
        <f t="array" ref="Z188">G188-Y188</f>
        <v/>
      </c>
      <c r="AA188" s="121">
        <f t="array" ref="AA188">ROUND(W188*H188,2)</f>
        <v/>
      </c>
      <c r="AB188" s="127">
        <f t="array" ref="AB188">ROUND(X188*H188,2)</f>
        <v/>
      </c>
      <c r="AC188" s="121">
        <f t="array" ref="AC188">ROUND(AA188+AB188,2)</f>
        <v/>
      </c>
      <c r="AD188" s="127">
        <f t="array" ref="AD188">ROUND((G188*H188)-AC188,2)</f>
        <v/>
      </c>
      <c r="AE188" s="54">
        <f t="array" ref="AE188">_xlfn.IFERROR(ROUND(AC188/(G188*H188),2),0)</f>
        <v/>
      </c>
      <c r="AF188" s="7" t="n"/>
      <c r="AG188" s="7" t="n"/>
      <c r="AH188" s="7" t="n"/>
      <c r="AI188" s="7" t="n"/>
      <c r="AJ188" s="7" t="n"/>
      <c r="AK188" s="7" t="n"/>
      <c r="AL188" s="7" t="n"/>
    </row>
    <row r="189" ht="133.2" customHeight="1" s="104">
      <c r="A189" s="44" t="inlineStr">
        <is>
          <t>3.86</t>
        </is>
      </c>
      <c r="B189" s="44" t="inlineStr">
        <is>
          <t>CURVA DE AÇO GALVANIZADO À FOGO, Ø  3/4" X 90º, COM LUVA</t>
        </is>
      </c>
      <c r="C189" s="44" t="inlineStr">
        <is>
          <t>PÇ</t>
        </is>
      </c>
      <c r="D189" s="45" t="n">
        <v>2</v>
      </c>
      <c r="E189" s="45" t="n"/>
      <c r="F189" s="45" t="n"/>
      <c r="G189" s="45">
        <f t="array" ref="G189">SUM(D189:F189)</f>
        <v/>
      </c>
      <c r="H189" s="121">
        <f t="array" ref="H189">VLOOKUP(A189,#REF!,5,0)</f>
        <v/>
      </c>
      <c r="I189" s="122" t="n">
        <v>0</v>
      </c>
      <c r="J189" s="123" t="n">
        <v>0</v>
      </c>
      <c r="K189" s="124" t="n">
        <v>0</v>
      </c>
      <c r="L189" s="123" t="n">
        <v>0</v>
      </c>
      <c r="M189" s="124" t="n">
        <v>0</v>
      </c>
      <c r="N189" s="124" t="n">
        <v>0</v>
      </c>
      <c r="O189" s="124" t="n">
        <v>0</v>
      </c>
      <c r="P189" s="124" t="n">
        <v>0</v>
      </c>
      <c r="Q189" s="124" t="n">
        <v>0</v>
      </c>
      <c r="R189" s="124" t="n">
        <v>0</v>
      </c>
      <c r="S189" s="124" t="n">
        <v>0</v>
      </c>
      <c r="T189" s="124" t="n">
        <v>0</v>
      </c>
      <c r="U189" s="124" t="n"/>
      <c r="V189" s="124" t="n"/>
      <c r="W189" s="125">
        <f t="array" ref="W189">SUM(I189:V189)</f>
        <v/>
      </c>
      <c r="X189" s="126" t="n">
        <v>0</v>
      </c>
      <c r="Y189" s="125">
        <f t="array" ref="Y189">W189+X189</f>
        <v/>
      </c>
      <c r="Z189" s="125">
        <f t="array" ref="Z189">G189-Y189</f>
        <v/>
      </c>
      <c r="AA189" s="121">
        <f t="array" ref="AA189">ROUND(W189*H189,2)</f>
        <v/>
      </c>
      <c r="AB189" s="127">
        <f t="array" ref="AB189">ROUND(X189*H189,2)</f>
        <v/>
      </c>
      <c r="AC189" s="121">
        <f t="array" ref="AC189">ROUND(AA189+AB189,2)</f>
        <v/>
      </c>
      <c r="AD189" s="127">
        <f t="array" ref="AD189">ROUND((G189*H189)-AC189,2)</f>
        <v/>
      </c>
      <c r="AE189" s="54">
        <f t="array" ref="AE189">_xlfn.IFERROR(ROUND(AC189/(G189*H189),2),0)</f>
        <v/>
      </c>
      <c r="AF189" s="7" t="n"/>
      <c r="AG189" s="7" t="n"/>
      <c r="AH189" s="7" t="n"/>
      <c r="AI189" s="7" t="n"/>
      <c r="AJ189" s="7" t="n"/>
      <c r="AK189" s="7" t="n"/>
      <c r="AL189" s="7" t="n"/>
    </row>
    <row r="190" ht="66.59999999999999" customHeight="1" s="104">
      <c r="A190" s="44" t="inlineStr">
        <is>
          <t>3.87</t>
        </is>
      </c>
      <c r="B190" s="44" t="inlineStr">
        <is>
          <t>CURVA DE PVC  RÍGIDO, Ø  1"X90º, COM LUVA</t>
        </is>
      </c>
      <c r="C190" s="44" t="inlineStr">
        <is>
          <t>PÇ</t>
        </is>
      </c>
      <c r="D190" s="45" t="n">
        <v>5</v>
      </c>
      <c r="E190" s="45" t="n"/>
      <c r="F190" s="45" t="n">
        <v>2</v>
      </c>
      <c r="G190" s="45">
        <f t="array" ref="G190">SUM(D190:F190)</f>
        <v/>
      </c>
      <c r="H190" s="121">
        <f t="array" ref="H190">VLOOKUP(A190,#REF!,5,0)</f>
        <v/>
      </c>
      <c r="I190" s="122" t="n">
        <v>0</v>
      </c>
      <c r="J190" s="123" t="n">
        <v>0</v>
      </c>
      <c r="K190" s="124" t="n">
        <v>0</v>
      </c>
      <c r="L190" s="123" t="n">
        <v>0</v>
      </c>
      <c r="M190" s="124" t="n">
        <v>0</v>
      </c>
      <c r="N190" s="124" t="n">
        <v>0</v>
      </c>
      <c r="O190" s="124" t="n">
        <v>0</v>
      </c>
      <c r="P190" s="124" t="n">
        <v>0</v>
      </c>
      <c r="Q190" s="124" t="n">
        <v>0</v>
      </c>
      <c r="R190" s="124" t="n">
        <v>0</v>
      </c>
      <c r="S190" s="124" t="n">
        <v>0</v>
      </c>
      <c r="T190" s="124" t="n">
        <v>0</v>
      </c>
      <c r="U190" s="124" t="n"/>
      <c r="V190" s="124" t="n"/>
      <c r="W190" s="125">
        <f t="array" ref="W190">SUM(I190:V190)</f>
        <v/>
      </c>
      <c r="X190" s="126" t="n">
        <v>0</v>
      </c>
      <c r="Y190" s="125">
        <f t="array" ref="Y190">W190+X190</f>
        <v/>
      </c>
      <c r="Z190" s="125">
        <f t="array" ref="Z190">G190-Y190</f>
        <v/>
      </c>
      <c r="AA190" s="121">
        <f t="array" ref="AA190">ROUND(W190*H190,2)</f>
        <v/>
      </c>
      <c r="AB190" s="127">
        <f t="array" ref="AB190">ROUND(X190*H190,2)</f>
        <v/>
      </c>
      <c r="AC190" s="121">
        <f t="array" ref="AC190">ROUND(AA190+AB190,2)</f>
        <v/>
      </c>
      <c r="AD190" s="127">
        <f t="array" ref="AD190">ROUND((G190*H190)-AC190,2)</f>
        <v/>
      </c>
      <c r="AE190" s="54">
        <f t="array" ref="AE190">_xlfn.IFERROR(ROUND(AC190/(G190*H190),2),0)</f>
        <v/>
      </c>
      <c r="AF190" s="7" t="n"/>
      <c r="AG190" s="7" t="n"/>
      <c r="AH190" s="7" t="n"/>
      <c r="AI190" s="7" t="n"/>
      <c r="AJ190" s="7" t="n"/>
      <c r="AK190" s="7" t="n"/>
      <c r="AL190" s="7" t="n"/>
    </row>
    <row r="191" ht="66.59999999999999" customHeight="1" s="104">
      <c r="A191" s="44" t="inlineStr">
        <is>
          <t>3.88</t>
        </is>
      </c>
      <c r="B191" s="44" t="inlineStr">
        <is>
          <t>CURVA DE PVC  RÍGIDO, Ø  11/2"X90º</t>
        </is>
      </c>
      <c r="C191" s="44" t="inlineStr">
        <is>
          <t>PÇ</t>
        </is>
      </c>
      <c r="D191" s="45" t="n">
        <v>10</v>
      </c>
      <c r="E191" s="45" t="n"/>
      <c r="F191" s="45" t="n"/>
      <c r="G191" s="45">
        <f t="array" ref="G191">SUM(D191:F191)</f>
        <v/>
      </c>
      <c r="H191" s="121">
        <f t="array" ref="H191">VLOOKUP(A191,#REF!,5,0)</f>
        <v/>
      </c>
      <c r="I191" s="122" t="n">
        <v>0</v>
      </c>
      <c r="J191" s="123" t="n">
        <v>0</v>
      </c>
      <c r="K191" s="124" t="n">
        <v>0</v>
      </c>
      <c r="L191" s="123" t="n">
        <v>6</v>
      </c>
      <c r="M191" s="124" t="n">
        <v>0</v>
      </c>
      <c r="N191" s="124" t="n">
        <v>0</v>
      </c>
      <c r="O191" s="124" t="n">
        <v>0</v>
      </c>
      <c r="P191" s="124" t="n">
        <v>0</v>
      </c>
      <c r="Q191" s="124" t="n">
        <v>1</v>
      </c>
      <c r="R191" s="124" t="n">
        <v>0</v>
      </c>
      <c r="S191" s="124" t="n">
        <v>0</v>
      </c>
      <c r="T191" s="124" t="n">
        <v>0</v>
      </c>
      <c r="U191" s="124" t="n"/>
      <c r="V191" s="124" t="n"/>
      <c r="W191" s="125">
        <f t="array" ref="W191">SUM(I191:V191)</f>
        <v/>
      </c>
      <c r="X191" s="126" t="n">
        <v>0</v>
      </c>
      <c r="Y191" s="125">
        <f t="array" ref="Y191">W191+X191</f>
        <v/>
      </c>
      <c r="Z191" s="125">
        <f t="array" ref="Z191">G191-Y191</f>
        <v/>
      </c>
      <c r="AA191" s="121">
        <f t="array" ref="AA191">ROUND(W191*H191,2)</f>
        <v/>
      </c>
      <c r="AB191" s="127">
        <f t="array" ref="AB191">ROUND(X191*H191,2)</f>
        <v/>
      </c>
      <c r="AC191" s="121">
        <f t="array" ref="AC191">ROUND(AA191+AB191,2)</f>
        <v/>
      </c>
      <c r="AD191" s="127">
        <f t="array" ref="AD191">ROUND((G191*H191)-AC191,2)</f>
        <v/>
      </c>
      <c r="AE191" s="54">
        <f t="array" ref="AE191">_xlfn.IFERROR(ROUND(AC191/(G191*H191),2),0)</f>
        <v/>
      </c>
      <c r="AF191" s="7" t="n"/>
      <c r="AG191" s="7" t="n"/>
      <c r="AH191" s="7" t="n"/>
      <c r="AI191" s="7" t="n"/>
      <c r="AJ191" s="7" t="n"/>
      <c r="AK191" s="7" t="n"/>
      <c r="AL191" s="7" t="n"/>
    </row>
    <row r="192" ht="66.59999999999999" customHeight="1" s="104">
      <c r="A192" s="44" t="inlineStr">
        <is>
          <t>3.89</t>
        </is>
      </c>
      <c r="B192" s="44" t="inlineStr">
        <is>
          <t>CURVA DE PVC  RÍGIDO, Ø  2"X90º</t>
        </is>
      </c>
      <c r="C192" s="44" t="inlineStr">
        <is>
          <t>PÇ</t>
        </is>
      </c>
      <c r="D192" s="45" t="n">
        <v>5</v>
      </c>
      <c r="E192" s="45" t="n"/>
      <c r="F192" s="45" t="n"/>
      <c r="G192" s="45">
        <f t="array" ref="G192">SUM(D192:F192)</f>
        <v/>
      </c>
      <c r="H192" s="121">
        <f t="array" ref="H192">VLOOKUP(A192,#REF!,5,0)</f>
        <v/>
      </c>
      <c r="I192" s="122" t="n">
        <v>0</v>
      </c>
      <c r="J192" s="123" t="n">
        <v>2</v>
      </c>
      <c r="K192" s="124" t="n">
        <v>3</v>
      </c>
      <c r="L192" s="123" t="n">
        <v>0</v>
      </c>
      <c r="M192" s="124" t="n">
        <v>0</v>
      </c>
      <c r="N192" s="124" t="n">
        <v>0</v>
      </c>
      <c r="O192" s="124" t="n">
        <v>0</v>
      </c>
      <c r="P192" s="124" t="n">
        <v>0</v>
      </c>
      <c r="Q192" s="124" t="n">
        <v>0</v>
      </c>
      <c r="R192" s="124" t="n">
        <v>0</v>
      </c>
      <c r="S192" s="124" t="n">
        <v>0</v>
      </c>
      <c r="T192" s="124" t="n">
        <v>0</v>
      </c>
      <c r="U192" s="124" t="n"/>
      <c r="V192" s="124" t="n"/>
      <c r="W192" s="125">
        <f t="array" ref="W192">SUM(I192:V192)</f>
        <v/>
      </c>
      <c r="X192" s="126" t="n">
        <v>0</v>
      </c>
      <c r="Y192" s="125">
        <f t="array" ref="Y192">W192+X192</f>
        <v/>
      </c>
      <c r="Z192" s="125">
        <f t="array" ref="Z192">G192-Y192</f>
        <v/>
      </c>
      <c r="AA192" s="121">
        <f t="array" ref="AA192">ROUND(W192*H192,2)</f>
        <v/>
      </c>
      <c r="AB192" s="127">
        <f t="array" ref="AB192">ROUND(X192*H192,2)</f>
        <v/>
      </c>
      <c r="AC192" s="121">
        <f t="array" ref="AC192">ROUND(AA192+AB192,2)</f>
        <v/>
      </c>
      <c r="AD192" s="127">
        <f t="array" ref="AD192">ROUND((G192*H192)-AC192,2)</f>
        <v/>
      </c>
      <c r="AE192" s="54">
        <f t="array" ref="AE192">_xlfn.IFERROR(ROUND(AC192/(G192*H192),2),0)</f>
        <v/>
      </c>
      <c r="AF192" s="7" t="n"/>
      <c r="AG192" s="7" t="n"/>
      <c r="AH192" s="7" t="n"/>
      <c r="AI192" s="7" t="n"/>
      <c r="AJ192" s="7" t="n"/>
      <c r="AK192" s="7" t="n"/>
      <c r="AL192" s="7" t="n"/>
    </row>
    <row r="193" ht="66.59999999999999" customHeight="1" s="104">
      <c r="A193" s="44" t="inlineStr">
        <is>
          <t>3.90</t>
        </is>
      </c>
      <c r="B193" s="44" t="inlineStr">
        <is>
          <t>CURVA DE PVC  RÍGIDO, Ø  3/4"X90º</t>
        </is>
      </c>
      <c r="C193" s="44" t="inlineStr">
        <is>
          <t>PÇ</t>
        </is>
      </c>
      <c r="D193" s="45" t="n">
        <v>5</v>
      </c>
      <c r="E193" s="45" t="n"/>
      <c r="F193" s="45" t="n"/>
      <c r="G193" s="45">
        <f t="array" ref="G193">SUM(D193:F193)</f>
        <v/>
      </c>
      <c r="H193" s="121">
        <f t="array" ref="H193">VLOOKUP(A193,#REF!,5,0)</f>
        <v/>
      </c>
      <c r="I193" s="122" t="n">
        <v>0</v>
      </c>
      <c r="J193" s="123" t="n">
        <v>0</v>
      </c>
      <c r="K193" s="124" t="n">
        <v>0</v>
      </c>
      <c r="L193" s="123" t="n">
        <v>0</v>
      </c>
      <c r="M193" s="124" t="n">
        <v>2</v>
      </c>
      <c r="N193" s="124" t="n">
        <v>0</v>
      </c>
      <c r="O193" s="124" t="n">
        <v>0</v>
      </c>
      <c r="P193" s="124" t="n">
        <v>0</v>
      </c>
      <c r="Q193" s="124" t="n">
        <v>0</v>
      </c>
      <c r="R193" s="124" t="n">
        <v>0</v>
      </c>
      <c r="S193" s="124" t="n">
        <v>0</v>
      </c>
      <c r="T193" s="124" t="n">
        <v>0</v>
      </c>
      <c r="U193" s="124" t="n"/>
      <c r="V193" s="124" t="n"/>
      <c r="W193" s="125">
        <f t="array" ref="W193">SUM(I193:V193)</f>
        <v/>
      </c>
      <c r="X193" s="126" t="n">
        <v>0</v>
      </c>
      <c r="Y193" s="125">
        <f t="array" ref="Y193">W193+X193</f>
        <v/>
      </c>
      <c r="Z193" s="125">
        <f t="array" ref="Z193">G193-Y193</f>
        <v/>
      </c>
      <c r="AA193" s="121">
        <f t="array" ref="AA193">ROUND(W193*H193,2)</f>
        <v/>
      </c>
      <c r="AB193" s="127">
        <f t="array" ref="AB193">ROUND(X193*H193,2)</f>
        <v/>
      </c>
      <c r="AC193" s="121">
        <f t="array" ref="AC193">ROUND(AA193+AB193,2)</f>
        <v/>
      </c>
      <c r="AD193" s="127">
        <f t="array" ref="AD193">ROUND((G193*H193)-AC193,2)</f>
        <v/>
      </c>
      <c r="AE193" s="54">
        <f t="array" ref="AE193">_xlfn.IFERROR(ROUND(AC193/(G193*H193),2),0)</f>
        <v/>
      </c>
      <c r="AF193" s="7" t="n"/>
      <c r="AG193" s="7" t="n"/>
      <c r="AH193" s="7" t="n"/>
      <c r="AI193" s="7" t="n"/>
      <c r="AJ193" s="7" t="n"/>
      <c r="AK193" s="7" t="n"/>
      <c r="AL193" s="7" t="n"/>
    </row>
    <row r="194" ht="266.4" customHeight="1" s="104">
      <c r="A194" s="44" t="inlineStr">
        <is>
          <t>3.91</t>
        </is>
      </c>
      <c r="B194" s="44" t="inlineStr">
        <is>
          <t>DISJUNTOR DIFERENCIAL RESIDUAL (DR), CORRENTE NOMINAL 15A, BIPOLAR, CORRENTE RESIDUAL 30MA,  CAPACIDADE DE INTERRUPÇÃO 4,5KA, EM 380/220VCA, NORMA IEC 61009</t>
        </is>
      </c>
      <c r="C194" s="44" t="inlineStr">
        <is>
          <t>PÇ</t>
        </is>
      </c>
      <c r="D194" s="45" t="n">
        <v>2</v>
      </c>
      <c r="E194" s="45" t="n"/>
      <c r="F194" s="45" t="n">
        <v>2</v>
      </c>
      <c r="G194" s="45">
        <f t="array" ref="G194">SUM(D194:F194)</f>
        <v/>
      </c>
      <c r="H194" s="121">
        <f t="array" ref="H194">VLOOKUP(A194,#REF!,5,0)</f>
        <v/>
      </c>
      <c r="I194" s="122" t="n">
        <v>0</v>
      </c>
      <c r="J194" s="123" t="n">
        <v>0</v>
      </c>
      <c r="K194" s="124" t="n">
        <v>3</v>
      </c>
      <c r="L194" s="123" t="n">
        <v>0</v>
      </c>
      <c r="M194" s="124" t="n">
        <v>0</v>
      </c>
      <c r="N194" s="124" t="n">
        <v>0</v>
      </c>
      <c r="O194" s="124" t="n">
        <v>0</v>
      </c>
      <c r="P194" s="124" t="n">
        <v>0</v>
      </c>
      <c r="Q194" s="124" t="n">
        <v>0</v>
      </c>
      <c r="R194" s="124" t="n">
        <v>1</v>
      </c>
      <c r="S194" s="124" t="n">
        <v>0</v>
      </c>
      <c r="T194" s="124" t="n">
        <v>0</v>
      </c>
      <c r="U194" s="124" t="n"/>
      <c r="V194" s="124" t="n"/>
      <c r="W194" s="125">
        <f t="array" ref="W194">SUM(I194:V194)</f>
        <v/>
      </c>
      <c r="X194" s="126" t="n">
        <v>0</v>
      </c>
      <c r="Y194" s="125">
        <f t="array" ref="Y194">W194+X194</f>
        <v/>
      </c>
      <c r="Z194" s="125">
        <f t="array" ref="Z194">G194-Y194</f>
        <v/>
      </c>
      <c r="AA194" s="121">
        <f t="array" ref="AA194">ROUND(W194*H194,2)</f>
        <v/>
      </c>
      <c r="AB194" s="127">
        <f t="array" ref="AB194">ROUND(X194*H194,2)</f>
        <v/>
      </c>
      <c r="AC194" s="121">
        <f t="array" ref="AC194">ROUND(AA194+AB194,2)</f>
        <v/>
      </c>
      <c r="AD194" s="127">
        <f t="array" ref="AD194">ROUND((G194*H194)-AC194,2)</f>
        <v/>
      </c>
      <c r="AE194" s="54">
        <f t="array" ref="AE194">_xlfn.IFERROR(ROUND(AC194/(G194*H194),2),0)</f>
        <v/>
      </c>
      <c r="AF194" s="7" t="n"/>
      <c r="AG194" s="7" t="n"/>
      <c r="AH194" s="7" t="n"/>
      <c r="AI194" s="7" t="n"/>
      <c r="AJ194" s="7" t="n"/>
      <c r="AK194" s="7" t="n"/>
      <c r="AL194" s="7" t="n"/>
    </row>
    <row r="195" ht="266.4" customHeight="1" s="104">
      <c r="A195" s="44" t="inlineStr">
        <is>
          <t>3.92</t>
        </is>
      </c>
      <c r="B195" s="44" t="inlineStr">
        <is>
          <t>DISJUNTOR DIFERENCIAL RESIDUAL (DR), CORRENTE NOMINAL 25A, BIPOLAR, CORRENTE RESIDUAL 30MA,  CAPACIDADE DE INTERRUPÇÃO 4,5KA, EM 380/220VCA, NORMA IEC 61009</t>
        </is>
      </c>
      <c r="C195" s="44" t="inlineStr">
        <is>
          <t>PÇ</t>
        </is>
      </c>
      <c r="D195" s="45" t="n">
        <v>2</v>
      </c>
      <c r="E195" s="45" t="n"/>
      <c r="F195" s="45" t="n"/>
      <c r="G195" s="45">
        <f t="array" ref="G195">SUM(D195:F195)</f>
        <v/>
      </c>
      <c r="H195" s="121">
        <f t="array" ref="H195">VLOOKUP(A195,#REF!,5,0)</f>
        <v/>
      </c>
      <c r="I195" s="122" t="n">
        <v>0</v>
      </c>
      <c r="J195" s="123" t="n">
        <v>0</v>
      </c>
      <c r="K195" s="124" t="n">
        <v>0</v>
      </c>
      <c r="L195" s="123" t="n">
        <v>1</v>
      </c>
      <c r="M195" s="124" t="n">
        <v>0</v>
      </c>
      <c r="N195" s="124" t="n">
        <v>0</v>
      </c>
      <c r="O195" s="124" t="n">
        <v>0</v>
      </c>
      <c r="P195" s="124" t="n">
        <v>0</v>
      </c>
      <c r="Q195" s="124" t="n">
        <v>1</v>
      </c>
      <c r="R195" s="124" t="n">
        <v>0</v>
      </c>
      <c r="S195" s="124" t="n">
        <v>0</v>
      </c>
      <c r="T195" s="124" t="n">
        <v>0</v>
      </c>
      <c r="U195" s="124" t="n"/>
      <c r="V195" s="124" t="n"/>
      <c r="W195" s="125">
        <f t="array" ref="W195">SUM(I195:V195)</f>
        <v/>
      </c>
      <c r="X195" s="126" t="n">
        <v>0</v>
      </c>
      <c r="Y195" s="125">
        <f t="array" ref="Y195">W195+X195</f>
        <v/>
      </c>
      <c r="Z195" s="125">
        <f t="array" ref="Z195">G195-Y195</f>
        <v/>
      </c>
      <c r="AA195" s="121">
        <f t="array" ref="AA195">ROUND(W195*H195,2)</f>
        <v/>
      </c>
      <c r="AB195" s="127">
        <f t="array" ref="AB195">ROUND(X195*H195,2)</f>
        <v/>
      </c>
      <c r="AC195" s="121">
        <f t="array" ref="AC195">ROUND(AA195+AB195,2)</f>
        <v/>
      </c>
      <c r="AD195" s="127">
        <f t="array" ref="AD195">ROUND((G195*H195)-AC195,2)</f>
        <v/>
      </c>
      <c r="AE195" s="54">
        <f t="array" ref="AE195">_xlfn.IFERROR(ROUND(AC195/(G195*H195),2),0)</f>
        <v/>
      </c>
      <c r="AF195" s="7" t="n"/>
      <c r="AG195" s="7" t="n"/>
      <c r="AH195" s="7" t="n"/>
      <c r="AI195" s="7" t="n"/>
      <c r="AJ195" s="7" t="n"/>
      <c r="AK195" s="7" t="n"/>
      <c r="AL195" s="7" t="n"/>
    </row>
    <row r="196" ht="266.4" customHeight="1" s="104">
      <c r="A196" s="44" t="inlineStr">
        <is>
          <t>3.93</t>
        </is>
      </c>
      <c r="B196" s="44" t="inlineStr">
        <is>
          <t>DISJUNTOR DIFERENCIAL RESIDUAL (DR), CORRENTE NOMINAL 40A, TETRAPOLAR, CORRENTE RESIDUAL 30MA,  CAPACIDADE DE INTERRUPÇÃO 4,5KA, EM 380/220VCA, NORMA IEC 61009</t>
        </is>
      </c>
      <c r="C196" s="44" t="inlineStr">
        <is>
          <t>PÇ</t>
        </is>
      </c>
      <c r="D196" s="45" t="n">
        <v>2</v>
      </c>
      <c r="E196" s="45" t="n"/>
      <c r="F196" s="45" t="n"/>
      <c r="G196" s="45">
        <f t="array" ref="G196">SUM(D196:F196)</f>
        <v/>
      </c>
      <c r="H196" s="121">
        <f t="array" ref="H196">VLOOKUP(A196,#REF!,5,0)</f>
        <v/>
      </c>
      <c r="I196" s="122" t="n">
        <v>0</v>
      </c>
      <c r="J196" s="123" t="n">
        <v>0</v>
      </c>
      <c r="K196" s="124" t="n">
        <v>0</v>
      </c>
      <c r="L196" s="123" t="n">
        <v>0</v>
      </c>
      <c r="M196" s="124" t="n">
        <v>1</v>
      </c>
      <c r="N196" s="124" t="n">
        <v>0</v>
      </c>
      <c r="O196" s="124" t="n">
        <v>0</v>
      </c>
      <c r="P196" s="124" t="n">
        <v>0</v>
      </c>
      <c r="Q196" s="124" t="n">
        <v>0</v>
      </c>
      <c r="R196" s="124" t="n">
        <v>1</v>
      </c>
      <c r="S196" s="124" t="n">
        <v>0</v>
      </c>
      <c r="T196" s="124" t="n">
        <v>0</v>
      </c>
      <c r="U196" s="124" t="n"/>
      <c r="V196" s="124" t="n"/>
      <c r="W196" s="125">
        <f t="array" ref="W196">SUM(I196:V196)</f>
        <v/>
      </c>
      <c r="X196" s="126" t="n">
        <v>0</v>
      </c>
      <c r="Y196" s="125">
        <f t="array" ref="Y196">W196+X196</f>
        <v/>
      </c>
      <c r="Z196" s="125">
        <f t="array" ref="Z196">G196-Y196</f>
        <v/>
      </c>
      <c r="AA196" s="121">
        <f t="array" ref="AA196">ROUND(W196*H196,2)</f>
        <v/>
      </c>
      <c r="AB196" s="127">
        <f t="array" ref="AB196">ROUND(X196*H196,2)</f>
        <v/>
      </c>
      <c r="AC196" s="121">
        <f t="array" ref="AC196">ROUND(AA196+AB196,2)</f>
        <v/>
      </c>
      <c r="AD196" s="127">
        <f t="array" ref="AD196">ROUND((G196*H196)-AC196,2)</f>
        <v/>
      </c>
      <c r="AE196" s="54">
        <f t="array" ref="AE196">_xlfn.IFERROR(ROUND(AC196/(G196*H196),2),0)</f>
        <v/>
      </c>
      <c r="AF196" s="7" t="n"/>
      <c r="AG196" s="7" t="n"/>
      <c r="AH196" s="7" t="n"/>
      <c r="AI196" s="7" t="n"/>
      <c r="AJ196" s="7" t="n"/>
      <c r="AK196" s="7" t="n"/>
      <c r="AL196" s="7" t="n"/>
    </row>
    <row r="197" ht="133.2" customHeight="1" s="104">
      <c r="A197" s="44" t="inlineStr">
        <is>
          <t>3.94</t>
        </is>
      </c>
      <c r="B197" s="44" t="inlineStr">
        <is>
          <t>DISJUNTOR TERMOMAGNÉTICO, 15 À 30A, 2KA, 220VCA, 1 POLO, PADRÃO NEMA OU DIN</t>
        </is>
      </c>
      <c r="C197" s="44" t="inlineStr">
        <is>
          <t>PÇ</t>
        </is>
      </c>
      <c r="D197" s="45" t="n">
        <v>10</v>
      </c>
      <c r="E197" s="45" t="n"/>
      <c r="F197" s="45" t="n">
        <v>5</v>
      </c>
      <c r="G197" s="45">
        <f t="array" ref="G197">SUM(D197:F197)</f>
        <v/>
      </c>
      <c r="H197" s="121">
        <f t="array" ref="H197">VLOOKUP(A197,#REF!,5,0)</f>
        <v/>
      </c>
      <c r="I197" s="122" t="n">
        <v>0</v>
      </c>
      <c r="J197" s="123" t="n">
        <v>0</v>
      </c>
      <c r="K197" s="124" t="n">
        <v>0</v>
      </c>
      <c r="L197" s="123" t="n">
        <v>0</v>
      </c>
      <c r="M197" s="124" t="n">
        <v>0</v>
      </c>
      <c r="N197" s="124" t="n">
        <v>0</v>
      </c>
      <c r="O197" s="124" t="n">
        <v>0</v>
      </c>
      <c r="P197" s="124" t="n">
        <v>0</v>
      </c>
      <c r="Q197" s="124" t="n">
        <v>15</v>
      </c>
      <c r="R197" s="124" t="n">
        <v>0</v>
      </c>
      <c r="S197" s="124" t="n">
        <v>0</v>
      </c>
      <c r="T197" s="124" t="n">
        <v>0</v>
      </c>
      <c r="U197" s="124" t="n"/>
      <c r="V197" s="124" t="n"/>
      <c r="W197" s="125">
        <f t="array" ref="W197">SUM(I197:V197)</f>
        <v/>
      </c>
      <c r="X197" s="126" t="n">
        <v>0</v>
      </c>
      <c r="Y197" s="125">
        <f t="array" ref="Y197">W197+X197</f>
        <v/>
      </c>
      <c r="Z197" s="125">
        <f t="array" ref="Z197">G197-Y197</f>
        <v/>
      </c>
      <c r="AA197" s="121">
        <f t="array" ref="AA197">ROUND(W197*H197,2)</f>
        <v/>
      </c>
      <c r="AB197" s="127">
        <f t="array" ref="AB197">ROUND(X197*H197,2)</f>
        <v/>
      </c>
      <c r="AC197" s="121">
        <f t="array" ref="AC197">ROUND(AA197+AB197,2)</f>
        <v/>
      </c>
      <c r="AD197" s="127">
        <f t="array" ref="AD197">ROUND((G197*H197)-AC197,2)</f>
        <v/>
      </c>
      <c r="AE197" s="54">
        <f t="array" ref="AE197">_xlfn.IFERROR(ROUND(AC197/(G197*H197),2),0)</f>
        <v/>
      </c>
      <c r="AF197" s="7" t="n"/>
      <c r="AG197" s="7" t="n"/>
      <c r="AH197" s="7" t="n"/>
      <c r="AI197" s="7" t="n"/>
      <c r="AJ197" s="7" t="n"/>
      <c r="AK197" s="7" t="n"/>
      <c r="AL197" s="7" t="n"/>
    </row>
    <row r="198" ht="133.2" customHeight="1" s="104">
      <c r="A198" s="44" t="inlineStr">
        <is>
          <t>3.95</t>
        </is>
      </c>
      <c r="B198" s="44" t="inlineStr">
        <is>
          <t>DISJUNTOR TERMOMAGNÉTICO, 40 À 70A, 2KA EM 220VCA, 1 POLO, PADRÃO NEMA OU DIN</t>
        </is>
      </c>
      <c r="C198" s="44" t="inlineStr">
        <is>
          <t>PÇ</t>
        </is>
      </c>
      <c r="D198" s="45" t="n">
        <v>10</v>
      </c>
      <c r="E198" s="45" t="n"/>
      <c r="F198" s="45" t="n">
        <v>5</v>
      </c>
      <c r="G198" s="45">
        <f t="array" ref="G198">SUM(D198:F198)</f>
        <v/>
      </c>
      <c r="H198" s="121">
        <f t="array" ref="H198">VLOOKUP(A198,#REF!,5,0)</f>
        <v/>
      </c>
      <c r="I198" s="122" t="n">
        <v>0</v>
      </c>
      <c r="J198" s="123" t="n">
        <v>14</v>
      </c>
      <c r="K198" s="124" t="n">
        <v>1</v>
      </c>
      <c r="L198" s="123" t="n">
        <v>0</v>
      </c>
      <c r="M198" s="124" t="n">
        <v>0</v>
      </c>
      <c r="N198" s="124" t="n">
        <v>0</v>
      </c>
      <c r="O198" s="124" t="n">
        <v>0</v>
      </c>
      <c r="P198" s="124" t="n">
        <v>0</v>
      </c>
      <c r="Q198" s="124" t="n">
        <v>0</v>
      </c>
      <c r="R198" s="124" t="n">
        <v>0</v>
      </c>
      <c r="S198" s="124" t="n">
        <v>0</v>
      </c>
      <c r="T198" s="124" t="n">
        <v>0</v>
      </c>
      <c r="U198" s="124" t="n"/>
      <c r="V198" s="124" t="n"/>
      <c r="W198" s="125">
        <f t="array" ref="W198">SUM(I198:V198)</f>
        <v/>
      </c>
      <c r="X198" s="126" t="n">
        <v>0</v>
      </c>
      <c r="Y198" s="125">
        <f t="array" ref="Y198">W198+X198</f>
        <v/>
      </c>
      <c r="Z198" s="125">
        <f t="array" ref="Z198">G198-Y198</f>
        <v/>
      </c>
      <c r="AA198" s="121">
        <f t="array" ref="AA198">ROUND(W198*H198,2)</f>
        <v/>
      </c>
      <c r="AB198" s="127">
        <f t="array" ref="AB198">ROUND(X198*H198,2)</f>
        <v/>
      </c>
      <c r="AC198" s="121">
        <f t="array" ref="AC198">ROUND(AA198+AB198,2)</f>
        <v/>
      </c>
      <c r="AD198" s="127">
        <f t="array" ref="AD198">ROUND((G198*H198)-AC198,2)</f>
        <v/>
      </c>
      <c r="AE198" s="54">
        <f t="array" ref="AE198">_xlfn.IFERROR(ROUND(AC198/(G198*H198),2),0)</f>
        <v/>
      </c>
      <c r="AF198" s="7" t="n"/>
      <c r="AG198" s="7" t="n"/>
      <c r="AH198" s="7" t="n"/>
      <c r="AI198" s="7" t="n"/>
      <c r="AJ198" s="7" t="n"/>
      <c r="AK198" s="7" t="n"/>
      <c r="AL198" s="7" t="n"/>
    </row>
    <row r="199" ht="266.4" customHeight="1" s="104">
      <c r="A199" s="44" t="inlineStr">
        <is>
          <t>3.96</t>
        </is>
      </c>
      <c r="B199" s="44" t="inlineStr">
        <is>
          <t>DISJUNTOR TERMOMAGNÉTICO, CORRENTE NOMINAL 20, 25, 30, 40 OU 50A, 3 POLOS, EM CAIXA MOLDADA, CAPACIDADE DE INTERRUPÇÃO SIMÉTRICA 5KA, EM 380VCA, PADRÃO NEMA OU DIN</t>
        </is>
      </c>
      <c r="C199" s="44" t="inlineStr">
        <is>
          <t>PÇ</t>
        </is>
      </c>
      <c r="D199" s="45" t="n">
        <v>10</v>
      </c>
      <c r="E199" s="45" t="n"/>
      <c r="F199" s="45" t="n"/>
      <c r="G199" s="45">
        <f t="array" ref="G199">SUM(D199:F199)</f>
        <v/>
      </c>
      <c r="H199" s="121">
        <f t="array" ref="H199">VLOOKUP(A199,#REF!,5,0)</f>
        <v/>
      </c>
      <c r="I199" s="122" t="n">
        <v>0</v>
      </c>
      <c r="J199" s="123" t="n">
        <v>8</v>
      </c>
      <c r="K199" s="124" t="n">
        <v>2</v>
      </c>
      <c r="L199" s="123" t="n">
        <v>0</v>
      </c>
      <c r="M199" s="124" t="n">
        <v>0</v>
      </c>
      <c r="N199" s="124" t="n">
        <v>0</v>
      </c>
      <c r="O199" s="124" t="n">
        <v>0</v>
      </c>
      <c r="P199" s="124" t="n">
        <v>0</v>
      </c>
      <c r="Q199" s="124" t="n">
        <v>0</v>
      </c>
      <c r="R199" s="124" t="n">
        <v>0</v>
      </c>
      <c r="S199" s="124" t="n">
        <v>0</v>
      </c>
      <c r="T199" s="124" t="n">
        <v>0</v>
      </c>
      <c r="U199" s="124" t="n"/>
      <c r="V199" s="124" t="n"/>
      <c r="W199" s="125">
        <f t="array" ref="W199">SUM(I199:V199)</f>
        <v/>
      </c>
      <c r="X199" s="126" t="n">
        <v>0</v>
      </c>
      <c r="Y199" s="125">
        <f t="array" ref="Y199">W199+X199</f>
        <v/>
      </c>
      <c r="Z199" s="125">
        <f t="array" ref="Z199">G199-Y199</f>
        <v/>
      </c>
      <c r="AA199" s="121">
        <f t="array" ref="AA199">ROUND(W199*H199,2)</f>
        <v/>
      </c>
      <c r="AB199" s="127">
        <f t="array" ref="AB199">ROUND(X199*H199,2)</f>
        <v/>
      </c>
      <c r="AC199" s="121">
        <f t="array" ref="AC199">ROUND(AA199+AB199,2)</f>
        <v/>
      </c>
      <c r="AD199" s="127">
        <f t="array" ref="AD199">ROUND((G199*H199)-AC199,2)</f>
        <v/>
      </c>
      <c r="AE199" s="54">
        <f t="array" ref="AE199">_xlfn.IFERROR(ROUND(AC199/(G199*H199),2),0)</f>
        <v/>
      </c>
      <c r="AF199" s="7" t="n"/>
      <c r="AG199" s="7" t="n"/>
      <c r="AH199" s="7" t="n"/>
      <c r="AI199" s="7" t="n"/>
      <c r="AJ199" s="7" t="n"/>
      <c r="AK199" s="7" t="n"/>
      <c r="AL199" s="7" t="n"/>
    </row>
    <row r="200" ht="266.4" customHeight="1" s="104">
      <c r="A200" s="44" t="inlineStr">
        <is>
          <t>3.97</t>
        </is>
      </c>
      <c r="B200" s="44" t="inlineStr">
        <is>
          <t>DISJUNTOR TERMOMAGNÉTICO, CORRENTE NOMINAL 70 A 100A, 3 POLOS, EM CAIXA MOLDADA, CAPACIDADE DE INTERRUPÇÃO SIMÉTRICA 5KA, EM 380VCA, PADRÃO NEMA OU DIN,</t>
        </is>
      </c>
      <c r="C200" s="44" t="inlineStr">
        <is>
          <t>PÇ</t>
        </is>
      </c>
      <c r="D200" s="45" t="n">
        <v>2</v>
      </c>
      <c r="E200" s="45" t="n"/>
      <c r="F200" s="45" t="n">
        <v>1</v>
      </c>
      <c r="G200" s="45">
        <f t="array" ref="G200">SUM(D200:F200)</f>
        <v/>
      </c>
      <c r="H200" s="121">
        <f t="array" ref="H200">VLOOKUP(A200,#REF!,5,0)</f>
        <v/>
      </c>
      <c r="I200" s="122" t="n">
        <v>0</v>
      </c>
      <c r="J200" s="123" t="n">
        <v>2</v>
      </c>
      <c r="K200" s="124" t="n">
        <v>0</v>
      </c>
      <c r="L200" s="123" t="n">
        <v>0</v>
      </c>
      <c r="M200" s="124" t="n">
        <v>1</v>
      </c>
      <c r="N200" s="124" t="n">
        <v>0</v>
      </c>
      <c r="O200" s="124" t="n">
        <v>0</v>
      </c>
      <c r="P200" s="124" t="n">
        <v>0</v>
      </c>
      <c r="Q200" s="124" t="n">
        <v>0</v>
      </c>
      <c r="R200" s="124" t="n">
        <v>0</v>
      </c>
      <c r="S200" s="124" t="n">
        <v>0</v>
      </c>
      <c r="T200" s="124" t="n">
        <v>0</v>
      </c>
      <c r="U200" s="124" t="n"/>
      <c r="V200" s="124" t="n"/>
      <c r="W200" s="125">
        <f t="array" ref="W200">SUM(I200:V200)</f>
        <v/>
      </c>
      <c r="X200" s="126" t="n">
        <v>0</v>
      </c>
      <c r="Y200" s="125">
        <f t="array" ref="Y200">W200+X200</f>
        <v/>
      </c>
      <c r="Z200" s="125">
        <f t="array" ref="Z200">G200-Y200</f>
        <v/>
      </c>
      <c r="AA200" s="121">
        <f t="array" ref="AA200">ROUND(W200*H200,2)</f>
        <v/>
      </c>
      <c r="AB200" s="127">
        <f t="array" ref="AB200">ROUND(X200*H200,2)</f>
        <v/>
      </c>
      <c r="AC200" s="121">
        <f t="array" ref="AC200">ROUND(AA200+AB200,2)</f>
        <v/>
      </c>
      <c r="AD200" s="127">
        <f t="array" ref="AD200">ROUND((G200*H200)-AC200,2)</f>
        <v/>
      </c>
      <c r="AE200" s="54">
        <f t="array" ref="AE200">_xlfn.IFERROR(ROUND(AC200/(G200*H200),2),0)</f>
        <v/>
      </c>
      <c r="AF200" s="7" t="n"/>
      <c r="AG200" s="7" t="n"/>
      <c r="AH200" s="7" t="n"/>
      <c r="AI200" s="7" t="n"/>
      <c r="AJ200" s="7" t="n"/>
      <c r="AK200" s="7" t="n"/>
      <c r="AL200" s="7" t="n"/>
    </row>
    <row r="201" ht="66.59999999999999" customHeight="1" s="104">
      <c r="A201" s="44" t="inlineStr">
        <is>
          <t>3.98</t>
        </is>
      </c>
      <c r="B201" s="44" t="inlineStr">
        <is>
          <t>ELETRODUTO CORRUGADO FLEXÍVEL, EM PVC, Ø 25MM</t>
        </is>
      </c>
      <c r="C201" s="44" t="inlineStr">
        <is>
          <t>M</t>
        </is>
      </c>
      <c r="D201" s="45" t="n">
        <v>25</v>
      </c>
      <c r="E201" s="45" t="n"/>
      <c r="F201" s="45" t="n"/>
      <c r="G201" s="45">
        <f t="array" ref="G201">SUM(D201:F201)</f>
        <v/>
      </c>
      <c r="H201" s="121">
        <f t="array" ref="H201">VLOOKUP(A201,#REF!,5,0)</f>
        <v/>
      </c>
      <c r="I201" s="122" t="n">
        <v>0</v>
      </c>
      <c r="J201" s="123" t="n">
        <v>0</v>
      </c>
      <c r="K201" s="124" t="n">
        <v>0</v>
      </c>
      <c r="L201" s="123" t="n">
        <v>0</v>
      </c>
      <c r="M201" s="124" t="n">
        <v>0</v>
      </c>
      <c r="N201" s="124" t="n">
        <v>0</v>
      </c>
      <c r="O201" s="124" t="n">
        <v>0</v>
      </c>
      <c r="P201" s="124" t="n">
        <v>0</v>
      </c>
      <c r="Q201" s="124" t="n">
        <v>0</v>
      </c>
      <c r="R201" s="124" t="n">
        <v>0</v>
      </c>
      <c r="S201" s="124" t="n">
        <v>0</v>
      </c>
      <c r="T201" s="124" t="n">
        <v>0</v>
      </c>
      <c r="U201" s="124" t="n"/>
      <c r="V201" s="124" t="n"/>
      <c r="W201" s="125">
        <f t="array" ref="W201">SUM(I201:V201)</f>
        <v/>
      </c>
      <c r="X201" s="126" t="n">
        <v>0</v>
      </c>
      <c r="Y201" s="125">
        <f t="array" ref="Y201">W201+X201</f>
        <v/>
      </c>
      <c r="Z201" s="125">
        <f t="array" ref="Z201">G201-Y201</f>
        <v/>
      </c>
      <c r="AA201" s="121">
        <f t="array" ref="AA201">ROUND(W201*H201,2)</f>
        <v/>
      </c>
      <c r="AB201" s="127">
        <f t="array" ref="AB201">ROUND(X201*H201,2)</f>
        <v/>
      </c>
      <c r="AC201" s="121">
        <f t="array" ref="AC201">ROUND(AA201+AB201,2)</f>
        <v/>
      </c>
      <c r="AD201" s="127">
        <f t="array" ref="AD201">ROUND((G201*H201)-AC201,2)</f>
        <v/>
      </c>
      <c r="AE201" s="54">
        <f t="array" ref="AE201">_xlfn.IFERROR(ROUND(AC201/(G201*H201),2),0)</f>
        <v/>
      </c>
      <c r="AF201" s="7" t="n"/>
      <c r="AG201" s="7" t="n"/>
      <c r="AH201" s="7" t="n"/>
      <c r="AI201" s="7" t="n"/>
      <c r="AJ201" s="7" t="n"/>
      <c r="AK201" s="7" t="n"/>
      <c r="AL201" s="7" t="n"/>
    </row>
    <row r="202" ht="133.2" customHeight="1" s="104">
      <c r="A202" s="44" t="inlineStr">
        <is>
          <t>3.99</t>
        </is>
      </c>
      <c r="B202" s="44" t="inlineStr">
        <is>
          <t>ELETRODUTO CORRUGADO, EM PEAD, Ø 1 1/2", TIPO KANALEX</t>
        </is>
      </c>
      <c r="C202" s="44" t="inlineStr">
        <is>
          <t>M</t>
        </is>
      </c>
      <c r="D202" s="45" t="n">
        <v>250</v>
      </c>
      <c r="E202" s="45" t="n"/>
      <c r="F202" s="45" t="n"/>
      <c r="G202" s="45">
        <f t="array" ref="G202">SUM(D202:F202)</f>
        <v/>
      </c>
      <c r="H202" s="121">
        <f t="array" ref="H202">VLOOKUP(A202,#REF!,5,0)</f>
        <v/>
      </c>
      <c r="I202" s="122" t="n">
        <v>0</v>
      </c>
      <c r="J202" s="123" t="n">
        <v>0</v>
      </c>
      <c r="K202" s="124" t="n">
        <v>9</v>
      </c>
      <c r="L202" s="123" t="n">
        <v>0</v>
      </c>
      <c r="M202" s="124" t="n">
        <v>0</v>
      </c>
      <c r="N202" s="124" t="n">
        <v>12</v>
      </c>
      <c r="O202" s="124" t="n">
        <v>0</v>
      </c>
      <c r="P202" s="124" t="n">
        <v>0</v>
      </c>
      <c r="Q202" s="124" t="n">
        <v>0</v>
      </c>
      <c r="R202" s="124" t="n">
        <v>0</v>
      </c>
      <c r="S202" s="124" t="n">
        <v>0</v>
      </c>
      <c r="T202" s="124" t="n">
        <v>0</v>
      </c>
      <c r="U202" s="124" t="n"/>
      <c r="V202" s="124" t="n"/>
      <c r="W202" s="125">
        <f t="array" ref="W202">SUM(I202:V202)</f>
        <v/>
      </c>
      <c r="X202" s="126" t="n">
        <v>0</v>
      </c>
      <c r="Y202" s="125">
        <f t="array" ref="Y202">W202+X202</f>
        <v/>
      </c>
      <c r="Z202" s="125">
        <f t="array" ref="Z202">G202-Y202</f>
        <v/>
      </c>
      <c r="AA202" s="121">
        <f t="array" ref="AA202">ROUND(W202*H202,2)</f>
        <v/>
      </c>
      <c r="AB202" s="127">
        <f t="array" ref="AB202">ROUND(X202*H202,2)</f>
        <v/>
      </c>
      <c r="AC202" s="121">
        <f t="array" ref="AC202">ROUND(AA202+AB202,2)</f>
        <v/>
      </c>
      <c r="AD202" s="127">
        <f t="array" ref="AD202">ROUND((G202*H202)-AC202,2)</f>
        <v/>
      </c>
      <c r="AE202" s="54">
        <f t="array" ref="AE202">_xlfn.IFERROR(ROUND(AC202/(G202*H202),2),0)</f>
        <v/>
      </c>
      <c r="AF202" s="7" t="n"/>
      <c r="AG202" s="7" t="n"/>
      <c r="AH202" s="7" t="n"/>
      <c r="AI202" s="7" t="n"/>
      <c r="AJ202" s="7" t="n"/>
      <c r="AK202" s="7" t="n"/>
      <c r="AL202" s="7" t="n"/>
    </row>
    <row r="203" ht="66.59999999999999" customHeight="1" s="104">
      <c r="A203" s="68" t="n">
        <v>3100</v>
      </c>
      <c r="B203" s="44" t="inlineStr">
        <is>
          <t>ELETRODUTO CORRUGADO, EM PEAD, Ø 2", TIPO KANALEX</t>
        </is>
      </c>
      <c r="C203" s="44" t="inlineStr">
        <is>
          <t>M</t>
        </is>
      </c>
      <c r="D203" s="45" t="n">
        <v>1000</v>
      </c>
      <c r="E203" s="45" t="n"/>
      <c r="F203" s="45" t="n"/>
      <c r="G203" s="45">
        <f t="array" ref="G203">SUM(D203:F203)</f>
        <v/>
      </c>
      <c r="H203" s="121">
        <f t="array" ref="H203">VLOOKUP(A203,#REF!,5,0)</f>
        <v/>
      </c>
      <c r="I203" s="122" t="n">
        <v>0</v>
      </c>
      <c r="J203" s="123" t="n">
        <v>0</v>
      </c>
      <c r="K203" s="124" t="n">
        <v>74</v>
      </c>
      <c r="L203" s="123" t="n">
        <v>0</v>
      </c>
      <c r="M203" s="124" t="n">
        <v>0</v>
      </c>
      <c r="N203" s="124" t="n">
        <v>160</v>
      </c>
      <c r="O203" s="124" t="n">
        <v>0</v>
      </c>
      <c r="P203" s="124" t="n">
        <v>0</v>
      </c>
      <c r="Q203" s="124" t="n">
        <v>0</v>
      </c>
      <c r="R203" s="124" t="n">
        <v>4</v>
      </c>
      <c r="S203" s="124" t="n">
        <v>0</v>
      </c>
      <c r="T203" s="124" t="n">
        <v>0</v>
      </c>
      <c r="U203" s="124" t="n"/>
      <c r="V203" s="124" t="n"/>
      <c r="W203" s="125">
        <f t="array" ref="W203">SUM(I203:V203)</f>
        <v/>
      </c>
      <c r="X203" s="126" t="n">
        <v>0</v>
      </c>
      <c r="Y203" s="125">
        <f t="array" ref="Y203">W203+X203</f>
        <v/>
      </c>
      <c r="Z203" s="125">
        <f t="array" ref="Z203">G203-Y203</f>
        <v/>
      </c>
      <c r="AA203" s="121">
        <f t="array" ref="AA203">ROUND(W203*H203,2)</f>
        <v/>
      </c>
      <c r="AB203" s="127">
        <f t="array" ref="AB203">ROUND(X203*H203,2)</f>
        <v/>
      </c>
      <c r="AC203" s="121">
        <f t="array" ref="AC203">ROUND(AA203+AB203,2)</f>
        <v/>
      </c>
      <c r="AD203" s="127">
        <f t="array" ref="AD203">ROUND((G203*H203)-AC203,2)</f>
        <v/>
      </c>
      <c r="AE203" s="54">
        <f t="array" ref="AE203">_xlfn.IFERROR(ROUND(AC203/(G203*H203),2),0)</f>
        <v/>
      </c>
      <c r="AF203" s="7" t="n"/>
      <c r="AG203" s="7" t="n"/>
      <c r="AH203" s="7" t="n"/>
      <c r="AI203" s="7" t="n"/>
      <c r="AJ203" s="7" t="n"/>
      <c r="AK203" s="7" t="n"/>
      <c r="AL203" s="7" t="n"/>
    </row>
    <row r="204" ht="133.2" customHeight="1" s="104">
      <c r="A204" s="68" t="n">
        <v>3101</v>
      </c>
      <c r="B204" s="44" t="inlineStr">
        <is>
          <t>ELETRODUTO DE AÇO GALVANIZADO À FOGO, TIPO LEVE, Ø  1 1/2", TIPO LEVE</t>
        </is>
      </c>
      <c r="C204" s="44" t="inlineStr">
        <is>
          <t>M</t>
        </is>
      </c>
      <c r="D204" s="45" t="n">
        <v>25</v>
      </c>
      <c r="E204" s="45" t="n"/>
      <c r="F204" s="45" t="n"/>
      <c r="G204" s="45">
        <f t="array" ref="G204">SUM(D204:F204)</f>
        <v/>
      </c>
      <c r="H204" s="121">
        <f t="array" ref="H204">VLOOKUP(A204,#REF!,5,0)</f>
        <v/>
      </c>
      <c r="I204" s="122" t="n">
        <v>0</v>
      </c>
      <c r="J204" s="123" t="n">
        <v>0</v>
      </c>
      <c r="K204" s="124" t="n">
        <v>0</v>
      </c>
      <c r="L204" s="123" t="n">
        <v>0</v>
      </c>
      <c r="M204" s="124" t="n">
        <v>0</v>
      </c>
      <c r="N204" s="124" t="n">
        <v>0</v>
      </c>
      <c r="O204" s="124" t="n">
        <v>0</v>
      </c>
      <c r="P204" s="124" t="n">
        <v>0</v>
      </c>
      <c r="Q204" s="124" t="n">
        <v>0</v>
      </c>
      <c r="R204" s="124" t="n">
        <v>0</v>
      </c>
      <c r="S204" s="124" t="n">
        <v>0</v>
      </c>
      <c r="T204" s="124" t="n">
        <v>0</v>
      </c>
      <c r="U204" s="124" t="n"/>
      <c r="V204" s="124" t="n"/>
      <c r="W204" s="125">
        <f t="array" ref="W204">SUM(I204:V204)</f>
        <v/>
      </c>
      <c r="X204" s="126" t="n">
        <v>0</v>
      </c>
      <c r="Y204" s="125">
        <f t="array" ref="Y204">W204+X204</f>
        <v/>
      </c>
      <c r="Z204" s="125">
        <f t="array" ref="Z204">G204-Y204</f>
        <v/>
      </c>
      <c r="AA204" s="121">
        <f t="array" ref="AA204">ROUND(W204*H204,2)</f>
        <v/>
      </c>
      <c r="AB204" s="127">
        <f t="array" ref="AB204">ROUND(X204*H204,2)</f>
        <v/>
      </c>
      <c r="AC204" s="121">
        <f t="array" ref="AC204">ROUND(AA204+AB204,2)</f>
        <v/>
      </c>
      <c r="AD204" s="127">
        <f t="array" ref="AD204">ROUND((G204*H204)-AC204,2)</f>
        <v/>
      </c>
      <c r="AE204" s="54">
        <f t="array" ref="AE204">_xlfn.IFERROR(ROUND(AC204/(G204*H204),2),0)</f>
        <v/>
      </c>
      <c r="AF204" s="7" t="n"/>
      <c r="AG204" s="7" t="n"/>
      <c r="AH204" s="7" t="n"/>
      <c r="AI204" s="7" t="n"/>
      <c r="AJ204" s="7" t="n"/>
      <c r="AK204" s="7" t="n"/>
      <c r="AL204" s="7" t="n"/>
    </row>
    <row r="205" ht="133.2" customHeight="1" s="104">
      <c r="A205" s="68" t="n">
        <v>3102</v>
      </c>
      <c r="B205" s="44" t="inlineStr">
        <is>
          <t>ELETRODUTO DE AÇO GALVANIZADO À FOGO, TIPO LEVE, Ø  2", TIPO LEVE</t>
        </is>
      </c>
      <c r="C205" s="44" t="inlineStr">
        <is>
          <t>M</t>
        </is>
      </c>
      <c r="D205" s="45" t="n">
        <v>25</v>
      </c>
      <c r="E205" s="45" t="n"/>
      <c r="F205" s="45" t="n"/>
      <c r="G205" s="45">
        <f t="array" ref="G205">SUM(D205:F205)</f>
        <v/>
      </c>
      <c r="H205" s="121">
        <f t="array" ref="H205">VLOOKUP(A205,#REF!,5,0)</f>
        <v/>
      </c>
      <c r="I205" s="122" t="n">
        <v>0</v>
      </c>
      <c r="J205" s="123" t="n">
        <v>0</v>
      </c>
      <c r="K205" s="124" t="n">
        <v>0</v>
      </c>
      <c r="L205" s="123" t="n">
        <v>0</v>
      </c>
      <c r="M205" s="124" t="n">
        <v>0</v>
      </c>
      <c r="N205" s="124" t="n">
        <v>15</v>
      </c>
      <c r="O205" s="124" t="n">
        <v>0</v>
      </c>
      <c r="P205" s="124" t="n">
        <v>0</v>
      </c>
      <c r="Q205" s="124" t="n">
        <v>0</v>
      </c>
      <c r="R205" s="124" t="n">
        <v>0</v>
      </c>
      <c r="S205" s="124" t="n">
        <v>0</v>
      </c>
      <c r="T205" s="124" t="n">
        <v>0</v>
      </c>
      <c r="U205" s="124" t="n"/>
      <c r="V205" s="124" t="n"/>
      <c r="W205" s="125">
        <f t="array" ref="W205">SUM(I205:V205)</f>
        <v/>
      </c>
      <c r="X205" s="126" t="n">
        <v>0</v>
      </c>
      <c r="Y205" s="125">
        <f t="array" ref="Y205">W205+X205</f>
        <v/>
      </c>
      <c r="Z205" s="125">
        <f t="array" ref="Z205">G205-Y205</f>
        <v/>
      </c>
      <c r="AA205" s="121">
        <f t="array" ref="AA205">ROUND(W205*H205,2)</f>
        <v/>
      </c>
      <c r="AB205" s="127">
        <f t="array" ref="AB205">ROUND(X205*H205,2)</f>
        <v/>
      </c>
      <c r="AC205" s="121">
        <f t="array" ref="AC205">ROUND(AA205+AB205,2)</f>
        <v/>
      </c>
      <c r="AD205" s="127">
        <f t="array" ref="AD205">ROUND((G205*H205)-AC205,2)</f>
        <v/>
      </c>
      <c r="AE205" s="54">
        <f t="array" ref="AE205">_xlfn.IFERROR(ROUND(AC205/(G205*H205),2),0)</f>
        <v/>
      </c>
      <c r="AF205" s="7" t="n"/>
      <c r="AG205" s="7" t="n"/>
      <c r="AH205" s="7" t="n"/>
      <c r="AI205" s="7" t="n"/>
      <c r="AJ205" s="7" t="n"/>
      <c r="AK205" s="7" t="n"/>
      <c r="AL205" s="7" t="n"/>
    </row>
    <row r="206" ht="66.59999999999999" customHeight="1" s="104">
      <c r="A206" s="68" t="n">
        <v>3103</v>
      </c>
      <c r="B206" s="44" t="inlineStr">
        <is>
          <t>ELETRODUTO DE PVC RÍGIDO, Ø  1", PRETO</t>
        </is>
      </c>
      <c r="C206" s="44" t="inlineStr">
        <is>
          <t>M</t>
        </is>
      </c>
      <c r="D206" s="45" t="n">
        <v>250</v>
      </c>
      <c r="E206" s="45" t="n"/>
      <c r="F206" s="45" t="n"/>
      <c r="G206" s="45">
        <f t="array" ref="G206">SUM(D206:F206)</f>
        <v/>
      </c>
      <c r="H206" s="121">
        <f t="array" ref="H206">VLOOKUP(A206,#REF!,5,0)</f>
        <v/>
      </c>
      <c r="I206" s="122" t="n">
        <v>0</v>
      </c>
      <c r="J206" s="123" t="n">
        <v>0</v>
      </c>
      <c r="K206" s="124" t="n">
        <v>0</v>
      </c>
      <c r="L206" s="123" t="n">
        <v>0</v>
      </c>
      <c r="M206" s="124" t="n">
        <v>0</v>
      </c>
      <c r="N206" s="124" t="n">
        <v>0</v>
      </c>
      <c r="O206" s="124" t="n">
        <v>0</v>
      </c>
      <c r="P206" s="124" t="n">
        <v>0</v>
      </c>
      <c r="Q206" s="124" t="n">
        <v>0</v>
      </c>
      <c r="R206" s="124" t="n">
        <v>0</v>
      </c>
      <c r="S206" s="124" t="n">
        <v>0</v>
      </c>
      <c r="T206" s="124" t="n">
        <v>0</v>
      </c>
      <c r="U206" s="124" t="n"/>
      <c r="V206" s="124" t="n"/>
      <c r="W206" s="125">
        <f t="array" ref="W206">SUM(I206:V206)</f>
        <v/>
      </c>
      <c r="X206" s="126" t="n">
        <v>0</v>
      </c>
      <c r="Y206" s="125">
        <f t="array" ref="Y206">W206+X206</f>
        <v/>
      </c>
      <c r="Z206" s="125">
        <f t="array" ref="Z206">G206-Y206</f>
        <v/>
      </c>
      <c r="AA206" s="121">
        <f t="array" ref="AA206">ROUND(W206*H206,2)</f>
        <v/>
      </c>
      <c r="AB206" s="127">
        <f t="array" ref="AB206">ROUND(X206*H206,2)</f>
        <v/>
      </c>
      <c r="AC206" s="121">
        <f t="array" ref="AC206">ROUND(AA206+AB206,2)</f>
        <v/>
      </c>
      <c r="AD206" s="127">
        <f t="array" ref="AD206">ROUND((G206*H206)-AC206,2)</f>
        <v/>
      </c>
      <c r="AE206" s="54">
        <f t="array" ref="AE206">_xlfn.IFERROR(ROUND(AC206/(G206*H206),2),0)</f>
        <v/>
      </c>
      <c r="AF206" s="7" t="n"/>
      <c r="AG206" s="7" t="n"/>
      <c r="AH206" s="7" t="n"/>
      <c r="AI206" s="7" t="n"/>
      <c r="AJ206" s="7" t="n"/>
      <c r="AK206" s="7" t="n"/>
      <c r="AL206" s="7" t="n"/>
    </row>
    <row r="207" ht="66.59999999999999" customHeight="1" s="104">
      <c r="A207" s="68" t="n">
        <v>3104</v>
      </c>
      <c r="B207" s="44" t="inlineStr">
        <is>
          <t>ELETRODUTO DE PVC RÍGIDO, Ø  11/2", PRETO</t>
        </is>
      </c>
      <c r="C207" s="44" t="inlineStr">
        <is>
          <t>M</t>
        </is>
      </c>
      <c r="D207" s="45" t="n">
        <v>25</v>
      </c>
      <c r="E207" s="45" t="n"/>
      <c r="F207" s="45" t="n"/>
      <c r="G207" s="45">
        <f t="array" ref="G207">SUM(D207:F207)</f>
        <v/>
      </c>
      <c r="H207" s="121">
        <f t="array" ref="H207">VLOOKUP(A207,#REF!,5,0)</f>
        <v/>
      </c>
      <c r="I207" s="122" t="n">
        <v>0</v>
      </c>
      <c r="J207" s="123" t="n">
        <v>5</v>
      </c>
      <c r="K207" s="124" t="n">
        <v>0</v>
      </c>
      <c r="L207" s="123" t="n">
        <v>13</v>
      </c>
      <c r="M207" s="124" t="n">
        <v>7</v>
      </c>
      <c r="N207" s="124" t="n">
        <v>0</v>
      </c>
      <c r="O207" s="124" t="n">
        <v>0</v>
      </c>
      <c r="P207" s="124" t="n">
        <v>0</v>
      </c>
      <c r="Q207" s="124" t="n">
        <v>0</v>
      </c>
      <c r="R207" s="124" t="n">
        <v>0</v>
      </c>
      <c r="S207" s="124" t="n">
        <v>0</v>
      </c>
      <c r="T207" s="124" t="n">
        <v>0</v>
      </c>
      <c r="U207" s="124" t="n"/>
      <c r="V207" s="124" t="n"/>
      <c r="W207" s="125">
        <f t="array" ref="W207">SUM(I207:V207)</f>
        <v/>
      </c>
      <c r="X207" s="126" t="n">
        <v>0</v>
      </c>
      <c r="Y207" s="125">
        <f t="array" ref="Y207">W207+X207</f>
        <v/>
      </c>
      <c r="Z207" s="125">
        <f t="array" ref="Z207">G207-Y207</f>
        <v/>
      </c>
      <c r="AA207" s="121">
        <f t="array" ref="AA207">ROUND(W207*H207,2)</f>
        <v/>
      </c>
      <c r="AB207" s="127">
        <f t="array" ref="AB207">ROUND(X207*H207,2)</f>
        <v/>
      </c>
      <c r="AC207" s="121">
        <f t="array" ref="AC207">ROUND(AA207+AB207,2)</f>
        <v/>
      </c>
      <c r="AD207" s="127">
        <f t="array" ref="AD207">ROUND((G207*H207)-AC207,2)</f>
        <v/>
      </c>
      <c r="AE207" s="54">
        <f t="array" ref="AE207">_xlfn.IFERROR(ROUND(AC207/(G207*H207),2),0)</f>
        <v/>
      </c>
      <c r="AF207" s="7" t="n"/>
      <c r="AG207" s="7" t="n"/>
      <c r="AH207" s="7" t="n"/>
      <c r="AI207" s="7" t="n"/>
      <c r="AJ207" s="7" t="n"/>
      <c r="AK207" s="7" t="n"/>
      <c r="AL207" s="7" t="n"/>
    </row>
    <row r="208" ht="66.59999999999999" customHeight="1" s="104">
      <c r="A208" s="68" t="n">
        <v>3105</v>
      </c>
      <c r="B208" s="44" t="inlineStr">
        <is>
          <t>ELETRODUTO DE PVC RÍGIDO, Ø  2", PRETO</t>
        </is>
      </c>
      <c r="C208" s="44" t="inlineStr">
        <is>
          <t>M</t>
        </is>
      </c>
      <c r="D208" s="45" t="n">
        <v>50</v>
      </c>
      <c r="E208" s="45" t="n"/>
      <c r="F208" s="45" t="n"/>
      <c r="G208" s="45">
        <f t="array" ref="G208">SUM(D208:F208)</f>
        <v/>
      </c>
      <c r="H208" s="121">
        <f t="array" ref="H208">VLOOKUP(A208,#REF!,5,0)</f>
        <v/>
      </c>
      <c r="I208" s="122" t="n">
        <v>0</v>
      </c>
      <c r="J208" s="123" t="n">
        <v>4</v>
      </c>
      <c r="K208" s="124" t="n">
        <v>6</v>
      </c>
      <c r="L208" s="123" t="n">
        <v>0</v>
      </c>
      <c r="M208" s="124" t="n">
        <v>6</v>
      </c>
      <c r="N208" s="124" t="n">
        <v>0</v>
      </c>
      <c r="O208" s="124" t="n">
        <v>0</v>
      </c>
      <c r="P208" s="124" t="n">
        <v>0</v>
      </c>
      <c r="Q208" s="124" t="n">
        <v>0</v>
      </c>
      <c r="R208" s="124" t="n">
        <v>0</v>
      </c>
      <c r="S208" s="124" t="n">
        <v>0</v>
      </c>
      <c r="T208" s="124" t="n">
        <v>0</v>
      </c>
      <c r="U208" s="124" t="n"/>
      <c r="V208" s="124" t="n"/>
      <c r="W208" s="125">
        <f t="array" ref="W208">SUM(I208:V208)</f>
        <v/>
      </c>
      <c r="X208" s="126" t="n">
        <v>0</v>
      </c>
      <c r="Y208" s="125">
        <f t="array" ref="Y208">W208+X208</f>
        <v/>
      </c>
      <c r="Z208" s="125">
        <f t="array" ref="Z208">G208-Y208</f>
        <v/>
      </c>
      <c r="AA208" s="121">
        <f t="array" ref="AA208">ROUND(W208*H208,2)</f>
        <v/>
      </c>
      <c r="AB208" s="127">
        <f t="array" ref="AB208">ROUND(X208*H208,2)</f>
        <v/>
      </c>
      <c r="AC208" s="121">
        <f t="array" ref="AC208">ROUND(AA208+AB208,2)</f>
        <v/>
      </c>
      <c r="AD208" s="127">
        <f t="array" ref="AD208">ROUND((G208*H208)-AC208,2)</f>
        <v/>
      </c>
      <c r="AE208" s="54">
        <f t="array" ref="AE208">_xlfn.IFERROR(ROUND(AC208/(G208*H208),2),0)</f>
        <v/>
      </c>
      <c r="AF208" s="7" t="n"/>
      <c r="AG208" s="7" t="n"/>
      <c r="AH208" s="7" t="n"/>
      <c r="AI208" s="7" t="n"/>
      <c r="AJ208" s="7" t="n"/>
      <c r="AK208" s="7" t="n"/>
      <c r="AL208" s="7" t="n"/>
    </row>
    <row r="209" ht="66.59999999999999" customHeight="1" s="104">
      <c r="A209" s="68" t="n">
        <v>3106</v>
      </c>
      <c r="B209" s="44" t="inlineStr">
        <is>
          <t>ELETRODUTO DE PVC RÍGIDO, Ø  3/4", PRETO</t>
        </is>
      </c>
      <c r="C209" s="44" t="inlineStr">
        <is>
          <t>M</t>
        </is>
      </c>
      <c r="D209" s="45" t="n">
        <v>250</v>
      </c>
      <c r="E209" s="45" t="n"/>
      <c r="F209" s="45" t="n"/>
      <c r="G209" s="45">
        <f t="array" ref="G209">SUM(D209:F209)</f>
        <v/>
      </c>
      <c r="H209" s="121">
        <f t="array" ref="H209">VLOOKUP(A209,#REF!,5,0)</f>
        <v/>
      </c>
      <c r="I209" s="122" t="n">
        <v>0</v>
      </c>
      <c r="J209" s="123" t="n">
        <v>0</v>
      </c>
      <c r="K209" s="124" t="n">
        <v>0</v>
      </c>
      <c r="L209" s="123" t="n">
        <v>102</v>
      </c>
      <c r="M209" s="124" t="n">
        <v>53</v>
      </c>
      <c r="N209" s="124" t="n">
        <v>6</v>
      </c>
      <c r="O209" s="124" t="n">
        <v>9</v>
      </c>
      <c r="P209" s="124" t="n">
        <v>12</v>
      </c>
      <c r="Q209" s="124" t="n">
        <v>0</v>
      </c>
      <c r="R209" s="124" t="n">
        <v>0</v>
      </c>
      <c r="S209" s="124" t="n">
        <v>0</v>
      </c>
      <c r="T209" s="124" t="n">
        <v>0</v>
      </c>
      <c r="U209" s="124" t="n"/>
      <c r="V209" s="124" t="n"/>
      <c r="W209" s="125">
        <f t="array" ref="W209">SUM(I209:V209)</f>
        <v/>
      </c>
      <c r="X209" s="126" t="n">
        <v>0</v>
      </c>
      <c r="Y209" s="125">
        <f t="array" ref="Y209">W209+X209</f>
        <v/>
      </c>
      <c r="Z209" s="125">
        <f t="array" ref="Z209">G209-Y209</f>
        <v/>
      </c>
      <c r="AA209" s="121">
        <f t="array" ref="AA209">ROUND(W209*H209,2)</f>
        <v/>
      </c>
      <c r="AB209" s="127">
        <f t="array" ref="AB209">ROUND(X209*H209,2)</f>
        <v/>
      </c>
      <c r="AC209" s="121">
        <f t="array" ref="AC209">ROUND(AA209+AB209,2)</f>
        <v/>
      </c>
      <c r="AD209" s="127">
        <f t="array" ref="AD209">ROUND((G209*H209)-AC209,2)</f>
        <v/>
      </c>
      <c r="AE209" s="54">
        <f t="array" ref="AE209">_xlfn.IFERROR(ROUND(AC209/(G209*H209),2),0)</f>
        <v/>
      </c>
      <c r="AF209" s="7" t="n"/>
      <c r="AG209" s="7" t="n"/>
      <c r="AH209" s="7" t="n"/>
      <c r="AI209" s="7" t="n"/>
      <c r="AJ209" s="7" t="n"/>
      <c r="AK209" s="7" t="n"/>
      <c r="AL209" s="7" t="n"/>
    </row>
    <row r="210" ht="133.2" customHeight="1" s="104">
      <c r="A210" s="68" t="n">
        <v>3107</v>
      </c>
      <c r="B210" s="44" t="inlineStr">
        <is>
          <t>FECHO PARA FITA DE AÇO  INOXIDÁVEL 5/8"X0,6 MM, TIPO DENTADO</t>
        </is>
      </c>
      <c r="C210" s="44" t="inlineStr">
        <is>
          <t>PÇ</t>
        </is>
      </c>
      <c r="D210" s="45" t="n">
        <v>50</v>
      </c>
      <c r="E210" s="45" t="n"/>
      <c r="F210" s="45" t="n"/>
      <c r="G210" s="45">
        <f t="array" ref="G210">SUM(D210:F210)</f>
        <v/>
      </c>
      <c r="H210" s="121">
        <f t="array" ref="H210">VLOOKUP(A210,#REF!,5,0)</f>
        <v/>
      </c>
      <c r="I210" s="122" t="n">
        <v>0</v>
      </c>
      <c r="J210" s="123" t="n">
        <v>6</v>
      </c>
      <c r="K210" s="124" t="n">
        <v>2</v>
      </c>
      <c r="L210" s="123" t="n">
        <v>0</v>
      </c>
      <c r="M210" s="124" t="n">
        <v>20</v>
      </c>
      <c r="N210" s="124" t="n">
        <v>12</v>
      </c>
      <c r="O210" s="124" t="n">
        <v>9</v>
      </c>
      <c r="P210" s="124" t="n">
        <v>0</v>
      </c>
      <c r="Q210" s="124" t="n">
        <v>1</v>
      </c>
      <c r="R210" s="124" t="n">
        <v>0</v>
      </c>
      <c r="S210" s="124" t="n">
        <v>0</v>
      </c>
      <c r="T210" s="124" t="n">
        <v>0</v>
      </c>
      <c r="U210" s="124" t="n"/>
      <c r="V210" s="124" t="n"/>
      <c r="W210" s="125">
        <f t="array" ref="W210">SUM(I210:V210)</f>
        <v/>
      </c>
      <c r="X210" s="126" t="n">
        <v>0</v>
      </c>
      <c r="Y210" s="125">
        <f t="array" ref="Y210">W210+X210</f>
        <v/>
      </c>
      <c r="Z210" s="125">
        <f t="array" ref="Z210">G210-Y210</f>
        <v/>
      </c>
      <c r="AA210" s="121">
        <f t="array" ref="AA210">ROUND(W210*H210,2)</f>
        <v/>
      </c>
      <c r="AB210" s="127">
        <f t="array" ref="AB210">ROUND(X210*H210,2)</f>
        <v/>
      </c>
      <c r="AC210" s="121">
        <f t="array" ref="AC210">ROUND(AA210+AB210,2)</f>
        <v/>
      </c>
      <c r="AD210" s="127">
        <f t="array" ref="AD210">ROUND((G210*H210)-AC210,2)</f>
        <v/>
      </c>
      <c r="AE210" s="54">
        <f t="array" ref="AE210">_xlfn.IFERROR(ROUND(AC210/(G210*H210),2),0)</f>
        <v/>
      </c>
      <c r="AF210" s="7" t="n"/>
      <c r="AG210" s="7" t="n"/>
      <c r="AH210" s="7" t="n"/>
      <c r="AI210" s="7" t="n"/>
      <c r="AJ210" s="7" t="n"/>
      <c r="AK210" s="7" t="n"/>
      <c r="AL210" s="7" t="n"/>
    </row>
    <row r="211" ht="406.2" customHeight="1" s="104">
      <c r="A211" s="68" t="n">
        <v>3108</v>
      </c>
      <c r="B211" s="44" t="inlineStr">
        <is>
          <t>FIGURA LUMINOSA CONFECCIONADA EM ESTRUTURA DE AÇO Ø = 3/8" PINTADA NA COR ALUMÍNIO, CURVADA, E/OU DOBRADA, E/OU SOLDADA PARA FORMAR A FIGURA, CONTORNADA POR CORDA (MANGUEIRA) LUMINOSA, BRANCA, VERMELHA, AZUL, AMARELA OU VERDE, DIÂMETRO 13MM, 2 FIOS, 220V, EM PVC MACIÇO, FIXADA À ESTRUTURA ATRAVÉS DE ABRAÇADEIRAS AUTOTRAVANTES. PREÇO POR METRO DE VERGALHÃO DE AÇO 3/8" CONTORNADO COM CORDA LUMINOSA QUE COMPÕE A FIGURA</t>
        </is>
      </c>
      <c r="C211" s="44" t="inlineStr">
        <is>
          <t>M</t>
        </is>
      </c>
      <c r="D211" s="45" t="n">
        <v>25</v>
      </c>
      <c r="E211" s="45" t="n"/>
      <c r="F211" s="45" t="n"/>
      <c r="G211" s="45">
        <f t="array" ref="G211">SUM(D211:F211)</f>
        <v/>
      </c>
      <c r="H211" s="121">
        <f t="array" ref="H211">VLOOKUP(A211,#REF!,5,0)</f>
        <v/>
      </c>
      <c r="I211" s="122" t="n">
        <v>0</v>
      </c>
      <c r="J211" s="123" t="n">
        <v>0</v>
      </c>
      <c r="K211" s="124" t="n">
        <v>0</v>
      </c>
      <c r="L211" s="123" t="n">
        <v>0</v>
      </c>
      <c r="M211" s="124" t="n">
        <v>0</v>
      </c>
      <c r="N211" s="124" t="n">
        <v>0</v>
      </c>
      <c r="O211" s="124" t="n">
        <v>0</v>
      </c>
      <c r="P211" s="124" t="n">
        <v>0</v>
      </c>
      <c r="Q211" s="124" t="n">
        <v>0</v>
      </c>
      <c r="R211" s="124" t="n">
        <v>0</v>
      </c>
      <c r="S211" s="124" t="n">
        <v>0</v>
      </c>
      <c r="T211" s="124" t="n">
        <v>0</v>
      </c>
      <c r="U211" s="124" t="n"/>
      <c r="V211" s="124" t="n"/>
      <c r="W211" s="125">
        <f t="array" ref="W211">SUM(I211:V211)</f>
        <v/>
      </c>
      <c r="X211" s="126" t="n">
        <v>0</v>
      </c>
      <c r="Y211" s="125">
        <f t="array" ref="Y211">W211+X211</f>
        <v/>
      </c>
      <c r="Z211" s="125">
        <f t="array" ref="Z211">G211-Y211</f>
        <v/>
      </c>
      <c r="AA211" s="121">
        <f t="array" ref="AA211">ROUND(W211*H211,2)</f>
        <v/>
      </c>
      <c r="AB211" s="127">
        <f t="array" ref="AB211">ROUND(X211*H211,2)</f>
        <v/>
      </c>
      <c r="AC211" s="121">
        <f t="array" ref="AC211">ROUND(AA211+AB211,2)</f>
        <v/>
      </c>
      <c r="AD211" s="127">
        <f t="array" ref="AD211">ROUND((G211*H211)-AC211,2)</f>
        <v/>
      </c>
      <c r="AE211" s="54">
        <f t="array" ref="AE211">_xlfn.IFERROR(ROUND(AC211/(G211*H211),2),0)</f>
        <v/>
      </c>
      <c r="AF211" s="7" t="n"/>
      <c r="AG211" s="7" t="n"/>
      <c r="AH211" s="7" t="n"/>
      <c r="AI211" s="7" t="n"/>
      <c r="AJ211" s="7" t="n"/>
      <c r="AK211" s="7" t="n"/>
      <c r="AL211" s="7" t="n"/>
    </row>
    <row r="212" ht="409.6" customHeight="1" s="104">
      <c r="A212" s="68" t="n">
        <v>3109</v>
      </c>
      <c r="B212" s="44" t="inlineStr">
        <is>
          <t>FIGURA LUMINOSA CONFECCIONADA EM ESTRUTURA DE AÇO Ø = 3/8", CURVADA, E/OU DOBRADA, E/OU SOLDADA, PINTADA NA COR ALUMÍNIO, CONTORNADA POR CORDA (MANGUEIRA) LUMINOSA COM LED'S DE ALTO BRILHO, NA COR BRANCA, VERMELHA, AZUL, AMARELA OU VERDE, COM 36 LED. PREÇO POR METRO DE VERGALHÃO CONTORNADO COM CORDA DE LED QUE COMPÕE A FIGURA</t>
        </is>
      </c>
      <c r="C212" s="44" t="inlineStr">
        <is>
          <t>M</t>
        </is>
      </c>
      <c r="D212" s="45" t="n">
        <v>25</v>
      </c>
      <c r="E212" s="45" t="n"/>
      <c r="F212" s="45" t="n"/>
      <c r="G212" s="45">
        <f t="array" ref="G212">SUM(D212:F212)</f>
        <v/>
      </c>
      <c r="H212" s="121">
        <f t="array" ref="H212">VLOOKUP(A212,#REF!,5,0)</f>
        <v/>
      </c>
      <c r="I212" s="122" t="n">
        <v>0</v>
      </c>
      <c r="J212" s="123" t="n">
        <v>0</v>
      </c>
      <c r="K212" s="124" t="n">
        <v>0</v>
      </c>
      <c r="L212" s="123" t="n">
        <v>0</v>
      </c>
      <c r="M212" s="124" t="n">
        <v>0</v>
      </c>
      <c r="N212" s="124" t="n">
        <v>0</v>
      </c>
      <c r="O212" s="124" t="n">
        <v>0</v>
      </c>
      <c r="P212" s="124" t="n">
        <v>0</v>
      </c>
      <c r="Q212" s="124" t="n">
        <v>0</v>
      </c>
      <c r="R212" s="124" t="n">
        <v>0</v>
      </c>
      <c r="S212" s="124" t="n">
        <v>0</v>
      </c>
      <c r="T212" s="124" t="n">
        <v>0</v>
      </c>
      <c r="U212" s="124" t="n"/>
      <c r="V212" s="124" t="n"/>
      <c r="W212" s="125">
        <f t="array" ref="W212">SUM(I212:V212)</f>
        <v/>
      </c>
      <c r="X212" s="126" t="n">
        <v>0</v>
      </c>
      <c r="Y212" s="125">
        <f t="array" ref="Y212">W212+X212</f>
        <v/>
      </c>
      <c r="Z212" s="125">
        <f t="array" ref="Z212">G212-Y212</f>
        <v/>
      </c>
      <c r="AA212" s="121">
        <f t="array" ref="AA212">ROUND(W212*H212,2)</f>
        <v/>
      </c>
      <c r="AB212" s="127">
        <f t="array" ref="AB212">ROUND(X212*H212,2)</f>
        <v/>
      </c>
      <c r="AC212" s="121">
        <f t="array" ref="AC212">ROUND(AA212+AB212,2)</f>
        <v/>
      </c>
      <c r="AD212" s="127">
        <f t="array" ref="AD212">ROUND((G212*H212)-AC212,2)</f>
        <v/>
      </c>
      <c r="AE212" s="54">
        <f t="array" ref="AE212">_xlfn.IFERROR(ROUND(AC212/(G212*H212),2),0)</f>
        <v/>
      </c>
      <c r="AF212" s="7" t="n"/>
      <c r="AG212" s="7" t="n"/>
      <c r="AH212" s="7" t="n"/>
      <c r="AI212" s="7" t="n"/>
      <c r="AJ212" s="7" t="n"/>
      <c r="AK212" s="7" t="n"/>
      <c r="AL212" s="7" t="n"/>
    </row>
    <row r="213" ht="66.59999999999999" customHeight="1" s="104">
      <c r="A213" s="68" t="n">
        <v>3110</v>
      </c>
      <c r="B213" s="44" t="inlineStr">
        <is>
          <t>FITA ISOLANTE AUTO FUSÃO, ROLO DE 10M</t>
        </is>
      </c>
      <c r="C213" s="44" t="inlineStr">
        <is>
          <t>RL</t>
        </is>
      </c>
      <c r="D213" s="45" t="n">
        <v>10</v>
      </c>
      <c r="E213" s="45" t="n"/>
      <c r="F213" s="45" t="n"/>
      <c r="G213" s="45">
        <f t="array" ref="G213">SUM(D213:F213)</f>
        <v/>
      </c>
      <c r="H213" s="121">
        <f t="array" ref="H213">VLOOKUP(A213,#REF!,5,0)</f>
        <v/>
      </c>
      <c r="I213" s="122" t="n">
        <v>0</v>
      </c>
      <c r="J213" s="123" t="n">
        <v>0</v>
      </c>
      <c r="K213" s="124" t="n">
        <v>0</v>
      </c>
      <c r="L213" s="123" t="n">
        <v>0</v>
      </c>
      <c r="M213" s="124" t="n">
        <v>0</v>
      </c>
      <c r="N213" s="124" t="n">
        <v>7</v>
      </c>
      <c r="O213" s="124" t="n">
        <v>3</v>
      </c>
      <c r="P213" s="124" t="n">
        <v>0</v>
      </c>
      <c r="Q213" s="124" t="n">
        <v>0</v>
      </c>
      <c r="R213" s="124" t="n">
        <v>0</v>
      </c>
      <c r="S213" s="124" t="n">
        <v>0</v>
      </c>
      <c r="T213" s="124" t="n">
        <v>0</v>
      </c>
      <c r="U213" s="124" t="n"/>
      <c r="V213" s="124" t="n"/>
      <c r="W213" s="125">
        <f t="array" ref="W213">SUM(I213:V213)</f>
        <v/>
      </c>
      <c r="X213" s="126" t="n">
        <v>0</v>
      </c>
      <c r="Y213" s="125">
        <f t="array" ref="Y213">W213+X213</f>
        <v/>
      </c>
      <c r="Z213" s="125">
        <f t="array" ref="Z213">G213-Y213</f>
        <v/>
      </c>
      <c r="AA213" s="121">
        <f t="array" ref="AA213">ROUND(W213*H213,2)</f>
        <v/>
      </c>
      <c r="AB213" s="127">
        <f t="array" ref="AB213">ROUND(X213*H213,2)</f>
        <v/>
      </c>
      <c r="AC213" s="121">
        <f t="array" ref="AC213">ROUND(AA213+AB213,2)</f>
        <v/>
      </c>
      <c r="AD213" s="127">
        <f t="array" ref="AD213">ROUND((G213*H213)-AC213,2)</f>
        <v/>
      </c>
      <c r="AE213" s="54">
        <f t="array" ref="AE213">_xlfn.IFERROR(ROUND(AC213/(G213*H213),2),0)</f>
        <v/>
      </c>
      <c r="AF213" s="7" t="n"/>
      <c r="AG213" s="7" t="n"/>
      <c r="AH213" s="7" t="n"/>
      <c r="AI213" s="7" t="n"/>
      <c r="AJ213" s="7" t="n"/>
      <c r="AK213" s="7" t="n"/>
      <c r="AL213" s="7" t="n"/>
    </row>
    <row r="214" ht="66.59999999999999" customHeight="1" s="104">
      <c r="A214" s="68" t="n">
        <v>3111</v>
      </c>
      <c r="B214" s="44" t="inlineStr">
        <is>
          <t>FITA ISOLANTE LÍQUIDA, LATA DE 200ML</t>
        </is>
      </c>
      <c r="C214" s="44" t="inlineStr">
        <is>
          <t>PÇ</t>
        </is>
      </c>
      <c r="D214" s="45" t="n">
        <v>2</v>
      </c>
      <c r="E214" s="45" t="n"/>
      <c r="F214" s="45" t="n"/>
      <c r="G214" s="45">
        <f t="array" ref="G214">SUM(D214:F214)</f>
        <v/>
      </c>
      <c r="H214" s="121">
        <f t="array" ref="H214">VLOOKUP(A214,#REF!,5,0)</f>
        <v/>
      </c>
      <c r="I214" s="122" t="n">
        <v>0</v>
      </c>
      <c r="J214" s="123" t="n">
        <v>0</v>
      </c>
      <c r="K214" s="124" t="n">
        <v>0</v>
      </c>
      <c r="L214" s="123" t="n">
        <v>0</v>
      </c>
      <c r="M214" s="124" t="n">
        <v>0</v>
      </c>
      <c r="N214" s="124" t="n">
        <v>0</v>
      </c>
      <c r="O214" s="124" t="n">
        <v>0</v>
      </c>
      <c r="P214" s="124" t="n">
        <v>0</v>
      </c>
      <c r="Q214" s="124" t="n">
        <v>0</v>
      </c>
      <c r="R214" s="124" t="n">
        <v>0</v>
      </c>
      <c r="S214" s="124" t="n">
        <v>0</v>
      </c>
      <c r="T214" s="124" t="n">
        <v>0</v>
      </c>
      <c r="U214" s="124" t="n"/>
      <c r="V214" s="124" t="n"/>
      <c r="W214" s="125">
        <f t="array" ref="W214">SUM(I214:V214)</f>
        <v/>
      </c>
      <c r="X214" s="126" t="n">
        <v>0</v>
      </c>
      <c r="Y214" s="125">
        <f t="array" ref="Y214">W214+X214</f>
        <v/>
      </c>
      <c r="Z214" s="125">
        <f t="array" ref="Z214">G214-Y214</f>
        <v/>
      </c>
      <c r="AA214" s="121">
        <f t="array" ref="AA214">ROUND(W214*H214,2)</f>
        <v/>
      </c>
      <c r="AB214" s="127">
        <f t="array" ref="AB214">ROUND(X214*H214,2)</f>
        <v/>
      </c>
      <c r="AC214" s="121">
        <f t="array" ref="AC214">ROUND(AA214+AB214,2)</f>
        <v/>
      </c>
      <c r="AD214" s="127">
        <f t="array" ref="AD214">ROUND((G214*H214)-AC214,2)</f>
        <v/>
      </c>
      <c r="AE214" s="54">
        <f t="array" ref="AE214">_xlfn.IFERROR(ROUND(AC214/(G214*H214),2),0)</f>
        <v/>
      </c>
      <c r="AF214" s="7" t="n"/>
      <c r="AG214" s="7" t="n"/>
      <c r="AH214" s="7" t="n"/>
      <c r="AI214" s="7" t="n"/>
      <c r="AJ214" s="7" t="n"/>
      <c r="AK214" s="7" t="n"/>
      <c r="AL214" s="7" t="n"/>
    </row>
    <row r="215" ht="66.59999999999999" customHeight="1" s="104">
      <c r="A215" s="68" t="n">
        <v>3112</v>
      </c>
      <c r="B215" s="44" t="inlineStr">
        <is>
          <t>FITA ISOLANTE PVC, ROLO DE 20M,</t>
        </is>
      </c>
      <c r="C215" s="44" t="inlineStr">
        <is>
          <t>RL</t>
        </is>
      </c>
      <c r="D215" s="45" t="n">
        <v>200</v>
      </c>
      <c r="E215" s="45" t="n"/>
      <c r="F215" s="45" t="n"/>
      <c r="G215" s="45">
        <f t="array" ref="G215">SUM(D215:F215)</f>
        <v/>
      </c>
      <c r="H215" s="121">
        <f t="array" ref="H215">VLOOKUP(A215,#REF!,5,0)</f>
        <v/>
      </c>
      <c r="I215" s="122" t="n">
        <v>0</v>
      </c>
      <c r="J215" s="123" t="n">
        <v>0</v>
      </c>
      <c r="K215" s="124" t="n">
        <v>0</v>
      </c>
      <c r="L215" s="123" t="n">
        <v>0</v>
      </c>
      <c r="M215" s="124" t="n">
        <v>0</v>
      </c>
      <c r="N215" s="124" t="n">
        <v>62</v>
      </c>
      <c r="O215" s="124" t="n">
        <v>15</v>
      </c>
      <c r="P215" s="124" t="n">
        <v>0</v>
      </c>
      <c r="Q215" s="124" t="n">
        <v>0</v>
      </c>
      <c r="R215" s="124" t="n">
        <v>40</v>
      </c>
      <c r="S215" s="124" t="n">
        <v>40</v>
      </c>
      <c r="T215" s="124" t="n">
        <v>43</v>
      </c>
      <c r="U215" s="124" t="n"/>
      <c r="V215" s="124" t="n"/>
      <c r="W215" s="125">
        <f t="array" ref="W215">SUM(I215:V215)</f>
        <v/>
      </c>
      <c r="X215" s="126" t="n">
        <v>0</v>
      </c>
      <c r="Y215" s="125">
        <f t="array" ref="Y215">W215+X215</f>
        <v/>
      </c>
      <c r="Z215" s="125">
        <f t="array" ref="Z215">G215-Y215</f>
        <v/>
      </c>
      <c r="AA215" s="121">
        <f t="array" ref="AA215">ROUND(W215*H215,2)</f>
        <v/>
      </c>
      <c r="AB215" s="127">
        <f t="array" ref="AB215">ROUND(X215*H215,2)</f>
        <v/>
      </c>
      <c r="AC215" s="121">
        <f t="array" ref="AC215">ROUND(AA215+AB215,2)</f>
        <v/>
      </c>
      <c r="AD215" s="127">
        <f t="array" ref="AD215">ROUND((G215*H215)-AC215,2)</f>
        <v/>
      </c>
      <c r="AE215" s="54">
        <f t="array" ref="AE215">_xlfn.IFERROR(ROUND(AC215/(G215*H215),2),0)</f>
        <v/>
      </c>
      <c r="AF215" s="7" t="n"/>
      <c r="AG215" s="7" t="n"/>
      <c r="AH215" s="7" t="n"/>
      <c r="AI215" s="7" t="n"/>
      <c r="AJ215" s="7" t="n"/>
      <c r="AK215" s="7" t="n"/>
      <c r="AL215" s="7" t="n"/>
    </row>
    <row r="216" ht="66.59999999999999" customHeight="1" s="104">
      <c r="A216" s="68" t="n">
        <v>3113</v>
      </c>
      <c r="B216" s="44" t="inlineStr">
        <is>
          <t xml:space="preserve">FUSÍVEL DIAZED, 6A, </t>
        </is>
      </c>
      <c r="C216" s="44" t="inlineStr">
        <is>
          <t>PÇ</t>
        </is>
      </c>
      <c r="D216" s="45" t="n">
        <v>5</v>
      </c>
      <c r="E216" s="45" t="n"/>
      <c r="F216" s="45" t="n"/>
      <c r="G216" s="45">
        <f t="array" ref="G216">SUM(D216:F216)</f>
        <v/>
      </c>
      <c r="H216" s="121">
        <f t="array" ref="H216">VLOOKUP(A216,#REF!,5,0)</f>
        <v/>
      </c>
      <c r="I216" s="122" t="n">
        <v>0</v>
      </c>
      <c r="J216" s="123" t="n">
        <v>0</v>
      </c>
      <c r="K216" s="124" t="n">
        <v>0</v>
      </c>
      <c r="L216" s="123" t="n">
        <v>0</v>
      </c>
      <c r="M216" s="124" t="n">
        <v>0</v>
      </c>
      <c r="N216" s="124" t="n">
        <v>0</v>
      </c>
      <c r="O216" s="124" t="n">
        <v>0</v>
      </c>
      <c r="P216" s="124" t="n">
        <v>0</v>
      </c>
      <c r="Q216" s="124" t="n">
        <v>0</v>
      </c>
      <c r="R216" s="124" t="n">
        <v>0</v>
      </c>
      <c r="S216" s="124" t="n">
        <v>0</v>
      </c>
      <c r="T216" s="124" t="n">
        <v>0</v>
      </c>
      <c r="U216" s="124" t="n"/>
      <c r="V216" s="124" t="n"/>
      <c r="W216" s="125">
        <f t="array" ref="W216">SUM(I216:V216)</f>
        <v/>
      </c>
      <c r="X216" s="126" t="n">
        <v>0</v>
      </c>
      <c r="Y216" s="125">
        <f t="array" ref="Y216">W216+X216</f>
        <v/>
      </c>
      <c r="Z216" s="125">
        <f t="array" ref="Z216">G216-Y216</f>
        <v/>
      </c>
      <c r="AA216" s="121">
        <f t="array" ref="AA216">ROUND(W216*H216,2)</f>
        <v/>
      </c>
      <c r="AB216" s="127">
        <f t="array" ref="AB216">ROUND(X216*H216,2)</f>
        <v/>
      </c>
      <c r="AC216" s="121">
        <f t="array" ref="AC216">ROUND(AA216+AB216,2)</f>
        <v/>
      </c>
      <c r="AD216" s="127">
        <f t="array" ref="AD216">ROUND((G216*H216)-AC216,2)</f>
        <v/>
      </c>
      <c r="AE216" s="54">
        <f t="array" ref="AE216">_xlfn.IFERROR(ROUND(AC216/(G216*H216),2),0)</f>
        <v/>
      </c>
      <c r="AF216" s="7" t="n"/>
      <c r="AG216" s="7" t="n"/>
      <c r="AH216" s="7" t="n"/>
      <c r="AI216" s="7" t="n"/>
      <c r="AJ216" s="7" t="n"/>
      <c r="AK216" s="7" t="n"/>
      <c r="AL216" s="7" t="n"/>
    </row>
    <row r="217" ht="66.59999999999999" customHeight="1" s="104">
      <c r="A217" s="68" t="n">
        <v>3114</v>
      </c>
      <c r="B217" s="44" t="inlineStr">
        <is>
          <t>FUSÍVEL NEOZED, 4A</t>
        </is>
      </c>
      <c r="C217" s="44" t="inlineStr">
        <is>
          <t>PÇ</t>
        </is>
      </c>
      <c r="D217" s="45" t="n">
        <v>10</v>
      </c>
      <c r="E217" s="45" t="n"/>
      <c r="F217" s="45" t="n"/>
      <c r="G217" s="45">
        <f t="array" ref="G217">SUM(D217:F217)</f>
        <v/>
      </c>
      <c r="H217" s="121">
        <f t="array" ref="H217">VLOOKUP(A217,#REF!,5,0)</f>
        <v/>
      </c>
      <c r="I217" s="122" t="n">
        <v>0</v>
      </c>
      <c r="J217" s="123" t="n">
        <v>0</v>
      </c>
      <c r="K217" s="124" t="n">
        <v>0</v>
      </c>
      <c r="L217" s="123" t="n">
        <v>0</v>
      </c>
      <c r="M217" s="124" t="n">
        <v>0</v>
      </c>
      <c r="N217" s="124" t="n">
        <v>0</v>
      </c>
      <c r="O217" s="124" t="n">
        <v>0</v>
      </c>
      <c r="P217" s="124" t="n">
        <v>0</v>
      </c>
      <c r="Q217" s="124" t="n">
        <v>0</v>
      </c>
      <c r="R217" s="124" t="n">
        <v>0</v>
      </c>
      <c r="S217" s="124" t="n">
        <v>0</v>
      </c>
      <c r="T217" s="124" t="n">
        <v>0</v>
      </c>
      <c r="U217" s="124" t="n"/>
      <c r="V217" s="124" t="n"/>
      <c r="W217" s="125">
        <f t="array" ref="W217">SUM(I217:V217)</f>
        <v/>
      </c>
      <c r="X217" s="126" t="n">
        <v>0</v>
      </c>
      <c r="Y217" s="125">
        <f t="array" ref="Y217">W217+X217</f>
        <v/>
      </c>
      <c r="Z217" s="125">
        <f t="array" ref="Z217">G217-Y217</f>
        <v/>
      </c>
      <c r="AA217" s="121">
        <f t="array" ref="AA217">ROUND(W217*H217,2)</f>
        <v/>
      </c>
      <c r="AB217" s="127">
        <f t="array" ref="AB217">ROUND(X217*H217,2)</f>
        <v/>
      </c>
      <c r="AC217" s="121">
        <f t="array" ref="AC217">ROUND(AA217+AB217,2)</f>
        <v/>
      </c>
      <c r="AD217" s="127">
        <f t="array" ref="AD217">ROUND((G217*H217)-AC217,2)</f>
        <v/>
      </c>
      <c r="AE217" s="54">
        <f t="array" ref="AE217">_xlfn.IFERROR(ROUND(AC217/(G217*H217),2),0)</f>
        <v/>
      </c>
      <c r="AF217" s="7" t="n"/>
      <c r="AG217" s="7" t="n"/>
      <c r="AH217" s="7" t="n"/>
      <c r="AI217" s="7" t="n"/>
      <c r="AJ217" s="7" t="n"/>
      <c r="AK217" s="7" t="n"/>
      <c r="AL217" s="7" t="n"/>
    </row>
    <row r="218" ht="66.59999999999999" customHeight="1" s="104">
      <c r="A218" s="68" t="n">
        <v>3115</v>
      </c>
      <c r="B218" s="44" t="inlineStr">
        <is>
          <t>FUSÍVEL NEOZED, 6A</t>
        </is>
      </c>
      <c r="C218" s="44" t="inlineStr">
        <is>
          <t>PÇ</t>
        </is>
      </c>
      <c r="D218" s="45" t="n">
        <v>5</v>
      </c>
      <c r="E218" s="45" t="n"/>
      <c r="F218" s="45" t="n"/>
      <c r="G218" s="45">
        <f t="array" ref="G218">SUM(D218:F218)</f>
        <v/>
      </c>
      <c r="H218" s="121">
        <f t="array" ref="H218">VLOOKUP(A218,#REF!,5,0)</f>
        <v/>
      </c>
      <c r="I218" s="122" t="n">
        <v>0</v>
      </c>
      <c r="J218" s="123" t="n">
        <v>0</v>
      </c>
      <c r="K218" s="124" t="n">
        <v>0</v>
      </c>
      <c r="L218" s="123" t="n">
        <v>0</v>
      </c>
      <c r="M218" s="124" t="n">
        <v>0</v>
      </c>
      <c r="N218" s="124" t="n">
        <v>0</v>
      </c>
      <c r="O218" s="124" t="n">
        <v>0</v>
      </c>
      <c r="P218" s="124" t="n">
        <v>0</v>
      </c>
      <c r="Q218" s="124" t="n">
        <v>0</v>
      </c>
      <c r="R218" s="124" t="n">
        <v>0</v>
      </c>
      <c r="S218" s="124" t="n">
        <v>0</v>
      </c>
      <c r="T218" s="124" t="n">
        <v>0</v>
      </c>
      <c r="U218" s="124" t="n"/>
      <c r="V218" s="124" t="n"/>
      <c r="W218" s="125">
        <f t="array" ref="W218">SUM(I218:V218)</f>
        <v/>
      </c>
      <c r="X218" s="126" t="n">
        <v>0</v>
      </c>
      <c r="Y218" s="125">
        <f t="array" ref="Y218">W218+X218</f>
        <v/>
      </c>
      <c r="Z218" s="125">
        <f t="array" ref="Z218">G218-Y218</f>
        <v/>
      </c>
      <c r="AA218" s="121">
        <f t="array" ref="AA218">ROUND(W218*H218,2)</f>
        <v/>
      </c>
      <c r="AB218" s="127">
        <f t="array" ref="AB218">ROUND(X218*H218,2)</f>
        <v/>
      </c>
      <c r="AC218" s="121">
        <f t="array" ref="AC218">ROUND(AA218+AB218,2)</f>
        <v/>
      </c>
      <c r="AD218" s="127">
        <f t="array" ref="AD218">ROUND((G218*H218)-AC218,2)</f>
        <v/>
      </c>
      <c r="AE218" s="54">
        <f t="array" ref="AE218">_xlfn.IFERROR(ROUND(AC218/(G218*H218),2),0)</f>
        <v/>
      </c>
      <c r="AF218" s="7" t="n"/>
      <c r="AG218" s="7" t="n"/>
      <c r="AH218" s="7" t="n"/>
      <c r="AI218" s="7" t="n"/>
      <c r="AJ218" s="7" t="n"/>
      <c r="AK218" s="7" t="n"/>
      <c r="AL218" s="7" t="n"/>
    </row>
    <row r="219" ht="66.59999999999999" customHeight="1" s="104">
      <c r="A219" s="68" t="n">
        <v>3116</v>
      </c>
      <c r="B219" s="44" t="inlineStr">
        <is>
          <t>HASTE DE TERRA COBREADA, DIÂMETRO 5/8"X 2,4M</t>
        </is>
      </c>
      <c r="C219" s="44" t="inlineStr">
        <is>
          <t>PÇ</t>
        </is>
      </c>
      <c r="D219" s="45" t="n">
        <v>100</v>
      </c>
      <c r="E219" s="45" t="n"/>
      <c r="F219" s="45" t="n"/>
      <c r="G219" s="45">
        <f t="array" ref="G219">SUM(D219:F219)</f>
        <v/>
      </c>
      <c r="H219" s="121">
        <f t="array" ref="H219">VLOOKUP(A219,#REF!,5,0)</f>
        <v/>
      </c>
      <c r="I219" s="122" t="n">
        <v>0</v>
      </c>
      <c r="J219" s="123" t="n">
        <v>3</v>
      </c>
      <c r="K219" s="124" t="n">
        <v>18</v>
      </c>
      <c r="L219" s="123" t="n">
        <v>10</v>
      </c>
      <c r="M219" s="124" t="n">
        <v>5</v>
      </c>
      <c r="N219" s="124" t="n">
        <v>1</v>
      </c>
      <c r="O219" s="124" t="n">
        <v>1</v>
      </c>
      <c r="P219" s="124" t="n">
        <v>7</v>
      </c>
      <c r="Q219" s="124" t="n">
        <v>5</v>
      </c>
      <c r="R219" s="124" t="n">
        <v>0</v>
      </c>
      <c r="S219" s="124" t="n">
        <v>5</v>
      </c>
      <c r="T219" s="124" t="n">
        <v>1</v>
      </c>
      <c r="U219" s="124" t="n"/>
      <c r="V219" s="124" t="n"/>
      <c r="W219" s="125">
        <f t="array" ref="W219">SUM(I219:V219)</f>
        <v/>
      </c>
      <c r="X219" s="126" t="n">
        <v>0</v>
      </c>
      <c r="Y219" s="125">
        <f t="array" ref="Y219">W219+X219</f>
        <v/>
      </c>
      <c r="Z219" s="125">
        <f t="array" ref="Z219">G219-Y219</f>
        <v/>
      </c>
      <c r="AA219" s="121">
        <f t="array" ref="AA219">ROUND(W219*H219,2)</f>
        <v/>
      </c>
      <c r="AB219" s="127">
        <f t="array" ref="AB219">ROUND(X219*H219,2)</f>
        <v/>
      </c>
      <c r="AC219" s="121">
        <f t="array" ref="AC219">ROUND(AA219+AB219,2)</f>
        <v/>
      </c>
      <c r="AD219" s="127">
        <f t="array" ref="AD219">ROUND((G219*H219)-AC219,2)</f>
        <v/>
      </c>
      <c r="AE219" s="54">
        <f t="array" ref="AE219">_xlfn.IFERROR(ROUND(AC219/(G219*H219),2),0)</f>
        <v/>
      </c>
      <c r="AF219" s="7" t="n"/>
      <c r="AG219" s="7" t="n"/>
      <c r="AH219" s="7" t="n"/>
      <c r="AI219" s="7" t="n"/>
      <c r="AJ219" s="7" t="n"/>
      <c r="AK219" s="7" t="n"/>
      <c r="AL219" s="7" t="n"/>
    </row>
    <row r="220" ht="133.2" customHeight="1" s="104">
      <c r="A220" s="68" t="n">
        <v>3117</v>
      </c>
      <c r="B220" s="44" t="inlineStr">
        <is>
          <t>ISOLADOR ROLDANA DIM. 76X80MM, 1,3 KV EM PORCELANA</t>
        </is>
      </c>
      <c r="C220" s="44" t="inlineStr">
        <is>
          <t>PÇ</t>
        </is>
      </c>
      <c r="D220" s="45" t="n">
        <v>5</v>
      </c>
      <c r="E220" s="45" t="n"/>
      <c r="F220" s="45" t="n"/>
      <c r="G220" s="45">
        <f t="array" ref="G220">SUM(D220:F220)</f>
        <v/>
      </c>
      <c r="H220" s="121">
        <f t="array" ref="H220">VLOOKUP(A220,#REF!,5,0)</f>
        <v/>
      </c>
      <c r="I220" s="122" t="n">
        <v>0</v>
      </c>
      <c r="J220" s="123" t="n">
        <v>0</v>
      </c>
      <c r="K220" s="124" t="n">
        <v>0</v>
      </c>
      <c r="L220" s="123" t="n">
        <v>0</v>
      </c>
      <c r="M220" s="124" t="n">
        <v>0</v>
      </c>
      <c r="N220" s="124" t="n">
        <v>0</v>
      </c>
      <c r="O220" s="124" t="n">
        <v>0</v>
      </c>
      <c r="P220" s="124" t="n">
        <v>0</v>
      </c>
      <c r="Q220" s="124" t="n">
        <v>0</v>
      </c>
      <c r="R220" s="124" t="n">
        <v>0</v>
      </c>
      <c r="S220" s="124" t="n">
        <v>0</v>
      </c>
      <c r="T220" s="124" t="n">
        <v>0</v>
      </c>
      <c r="U220" s="124" t="n"/>
      <c r="V220" s="124" t="n"/>
      <c r="W220" s="125">
        <f t="array" ref="W220">SUM(I220:V220)</f>
        <v/>
      </c>
      <c r="X220" s="126" t="n">
        <v>0</v>
      </c>
      <c r="Y220" s="125">
        <f t="array" ref="Y220">W220+X220</f>
        <v/>
      </c>
      <c r="Z220" s="125">
        <f t="array" ref="Z220">G220-Y220</f>
        <v/>
      </c>
      <c r="AA220" s="121">
        <f t="array" ref="AA220">ROUND(W220*H220,2)</f>
        <v/>
      </c>
      <c r="AB220" s="127">
        <f t="array" ref="AB220">ROUND(X220*H220,2)</f>
        <v/>
      </c>
      <c r="AC220" s="121">
        <f t="array" ref="AC220">ROUND(AA220+AB220,2)</f>
        <v/>
      </c>
      <c r="AD220" s="127">
        <f t="array" ref="AD220">ROUND((G220*H220)-AC220,2)</f>
        <v/>
      </c>
      <c r="AE220" s="54">
        <f t="array" ref="AE220">_xlfn.IFERROR(ROUND(AC220/(G220*H220),2),0)</f>
        <v/>
      </c>
      <c r="AF220" s="7" t="n"/>
      <c r="AG220" s="7" t="n"/>
      <c r="AH220" s="7" t="n"/>
      <c r="AI220" s="7" t="n"/>
      <c r="AJ220" s="7" t="n"/>
      <c r="AK220" s="7" t="n"/>
      <c r="AL220" s="7" t="n"/>
    </row>
    <row r="221" ht="266.4" customHeight="1" s="104">
      <c r="A221" s="68" t="n">
        <v>3118</v>
      </c>
      <c r="B221" s="69" t="inlineStr">
        <is>
          <t>LÂMPADA DE MULTIVAPORES METÁLICOS, 400 W, BULBO TUBULAR ,  BASE E-40, FLUXO LUMINOSO 8.700  LM OU MAIOR, VIDA MEDIANA 6.000 HORAS OU MAIOR, COR VERDE</t>
        </is>
      </c>
      <c r="C221" s="44" t="inlineStr">
        <is>
          <t>PÇ</t>
        </is>
      </c>
      <c r="D221" s="45" t="n">
        <v>5</v>
      </c>
      <c r="E221" s="45" t="n"/>
      <c r="F221" s="45" t="n"/>
      <c r="G221" s="45">
        <f t="array" ref="G221">SUM(D221:F221)</f>
        <v/>
      </c>
      <c r="H221" s="121">
        <f t="array" ref="H221">VLOOKUP(A221,#REF!,5,0)</f>
        <v/>
      </c>
      <c r="I221" s="122" t="n">
        <v>0</v>
      </c>
      <c r="J221" s="123" t="n">
        <v>0</v>
      </c>
      <c r="K221" s="124" t="n">
        <v>0</v>
      </c>
      <c r="L221" s="123" t="n">
        <v>0</v>
      </c>
      <c r="M221" s="124" t="n">
        <v>0</v>
      </c>
      <c r="N221" s="124" t="n">
        <v>0</v>
      </c>
      <c r="O221" s="124" t="n">
        <v>0</v>
      </c>
      <c r="P221" s="124" t="n">
        <v>0</v>
      </c>
      <c r="Q221" s="124" t="n">
        <v>0</v>
      </c>
      <c r="R221" s="124" t="n">
        <v>0</v>
      </c>
      <c r="S221" s="124" t="n">
        <v>0</v>
      </c>
      <c r="T221" s="124" t="n">
        <v>0</v>
      </c>
      <c r="U221" s="124" t="n"/>
      <c r="V221" s="124" t="n"/>
      <c r="W221" s="125">
        <f t="array" ref="W221">SUM(I221:V221)</f>
        <v/>
      </c>
      <c r="X221" s="126" t="n">
        <v>0</v>
      </c>
      <c r="Y221" s="125">
        <f t="array" ref="Y221">W221+X221</f>
        <v/>
      </c>
      <c r="Z221" s="125">
        <f t="array" ref="Z221">G221-Y221</f>
        <v/>
      </c>
      <c r="AA221" s="121">
        <f t="array" ref="AA221">ROUND(W221*H221,2)</f>
        <v/>
      </c>
      <c r="AB221" s="127">
        <f t="array" ref="AB221">ROUND(X221*H221,2)</f>
        <v/>
      </c>
      <c r="AC221" s="121">
        <f t="array" ref="AC221">ROUND(AA221+AB221,2)</f>
        <v/>
      </c>
      <c r="AD221" s="127">
        <f t="array" ref="AD221">ROUND((G221*H221)-AC221,2)</f>
        <v/>
      </c>
      <c r="AE221" s="54">
        <f t="array" ref="AE221">_xlfn.IFERROR(ROUND(AC221/(G221*H221),2),0)</f>
        <v/>
      </c>
      <c r="AF221" s="7" t="n"/>
      <c r="AG221" s="7" t="n"/>
      <c r="AH221" s="7" t="n"/>
      <c r="AI221" s="7" t="n"/>
      <c r="AJ221" s="7" t="n"/>
      <c r="AK221" s="7" t="n"/>
      <c r="AL221" s="7" t="n"/>
    </row>
    <row r="222" ht="266.4" customHeight="1" s="104">
      <c r="A222" s="68" t="n">
        <v>3119</v>
      </c>
      <c r="B222" s="44" t="inlineStr">
        <is>
          <t>LÂMPADA DE MULTIVAPORES METÁLICOS, 400 W, BULBO TUBULAR ,  BASE E-40, FLUXO LUMINOSO 8.700  LM OU MAIOR, VIDA MEDIANA 6.000 HORAS OU MAIOR, COR AZUL</t>
        </is>
      </c>
      <c r="C222" s="44" t="inlineStr">
        <is>
          <t>PÇ</t>
        </is>
      </c>
      <c r="D222" s="45" t="n">
        <v>5</v>
      </c>
      <c r="E222" s="45" t="n"/>
      <c r="F222" s="45" t="n"/>
      <c r="G222" s="45">
        <f t="array" ref="G222">SUM(D222:F222)</f>
        <v/>
      </c>
      <c r="H222" s="121">
        <f t="array" ref="H222">VLOOKUP(A222,#REF!,5,0)</f>
        <v/>
      </c>
      <c r="I222" s="122" t="n">
        <v>0</v>
      </c>
      <c r="J222" s="123" t="n">
        <v>0</v>
      </c>
      <c r="K222" s="124" t="n">
        <v>0</v>
      </c>
      <c r="L222" s="123" t="n">
        <v>0</v>
      </c>
      <c r="M222" s="124" t="n">
        <v>0</v>
      </c>
      <c r="N222" s="124" t="n">
        <v>0</v>
      </c>
      <c r="O222" s="124" t="n">
        <v>0</v>
      </c>
      <c r="P222" s="124" t="n">
        <v>0</v>
      </c>
      <c r="Q222" s="124" t="n">
        <v>0</v>
      </c>
      <c r="R222" s="124" t="n">
        <v>0</v>
      </c>
      <c r="S222" s="124" t="n">
        <v>0</v>
      </c>
      <c r="T222" s="124" t="n">
        <v>0</v>
      </c>
      <c r="U222" s="124" t="n"/>
      <c r="V222" s="124" t="n"/>
      <c r="W222" s="125">
        <f t="array" ref="W222">SUM(I222:V222)</f>
        <v/>
      </c>
      <c r="X222" s="126" t="n">
        <v>0</v>
      </c>
      <c r="Y222" s="125">
        <f t="array" ref="Y222">W222+X222</f>
        <v/>
      </c>
      <c r="Z222" s="125">
        <f t="array" ref="Z222">G222-Y222</f>
        <v/>
      </c>
      <c r="AA222" s="121">
        <f t="array" ref="AA222">ROUND(W222*H222,2)</f>
        <v/>
      </c>
      <c r="AB222" s="127">
        <f t="array" ref="AB222">ROUND(X222*H222,2)</f>
        <v/>
      </c>
      <c r="AC222" s="121">
        <f t="array" ref="AC222">ROUND(AA222+AB222,2)</f>
        <v/>
      </c>
      <c r="AD222" s="127">
        <f t="array" ref="AD222">ROUND((G222*H222)-AC222,2)</f>
        <v/>
      </c>
      <c r="AE222" s="54">
        <f t="array" ref="AE222">_xlfn.IFERROR(ROUND(AC222/(G222*H222),2),0)</f>
        <v/>
      </c>
      <c r="AF222" s="7" t="n"/>
      <c r="AG222" s="7" t="n"/>
      <c r="AH222" s="7" t="n"/>
      <c r="AI222" s="7" t="n"/>
      <c r="AJ222" s="7" t="n"/>
      <c r="AK222" s="7" t="n"/>
      <c r="AL222" s="7" t="n"/>
    </row>
    <row r="223" ht="333" customHeight="1" s="104">
      <c r="A223" s="68" t="n">
        <v>3120</v>
      </c>
      <c r="B223" s="44" t="inlineStr">
        <is>
          <t>LÂMPADA DE MULTIVAPORES METÁLICOS, 70 W, BASE G-12, FLUXO LUMINOSO 7300 LUMENS OU MAIOR, VIDA MEDIANA 15.000 HORAS OU MAIOR, TEMPERATURA DE COR 3000 K +/- 10%,  IRC ≥ 88, TUBO DE DESCARGA CERÂMICO</t>
        </is>
      </c>
      <c r="C223" s="44" t="inlineStr">
        <is>
          <t>PÇ</t>
        </is>
      </c>
      <c r="D223" s="45" t="n">
        <v>20</v>
      </c>
      <c r="E223" s="45" t="n"/>
      <c r="F223" s="45" t="n"/>
      <c r="G223" s="45">
        <f t="array" ref="G223">SUM(D223:F223)</f>
        <v/>
      </c>
      <c r="H223" s="121">
        <f t="array" ref="H223">VLOOKUP(A223,#REF!,5,0)</f>
        <v/>
      </c>
      <c r="I223" s="122" t="n">
        <v>0</v>
      </c>
      <c r="J223" s="123" t="n">
        <v>0</v>
      </c>
      <c r="K223" s="124" t="n">
        <v>0</v>
      </c>
      <c r="L223" s="123" t="n">
        <v>0</v>
      </c>
      <c r="M223" s="124" t="n">
        <v>0</v>
      </c>
      <c r="N223" s="124" t="n">
        <v>0</v>
      </c>
      <c r="O223" s="124" t="n">
        <v>0</v>
      </c>
      <c r="P223" s="124" t="n">
        <v>0</v>
      </c>
      <c r="Q223" s="124" t="n">
        <v>0</v>
      </c>
      <c r="R223" s="124" t="n">
        <v>0</v>
      </c>
      <c r="S223" s="124" t="n">
        <v>0</v>
      </c>
      <c r="T223" s="124" t="n">
        <v>0</v>
      </c>
      <c r="U223" s="124" t="n"/>
      <c r="V223" s="124" t="n"/>
      <c r="W223" s="125">
        <f t="array" ref="W223">SUM(I223:V223)</f>
        <v/>
      </c>
      <c r="X223" s="126" t="n">
        <v>0</v>
      </c>
      <c r="Y223" s="125">
        <f t="array" ref="Y223">W223+X223</f>
        <v/>
      </c>
      <c r="Z223" s="125">
        <f t="array" ref="Z223">G223-Y223</f>
        <v/>
      </c>
      <c r="AA223" s="121">
        <f t="array" ref="AA223">ROUND(W223*H223,2)</f>
        <v/>
      </c>
      <c r="AB223" s="127">
        <f t="array" ref="AB223">ROUND(X223*H223,2)</f>
        <v/>
      </c>
      <c r="AC223" s="121">
        <f t="array" ref="AC223">ROUND(AA223+AB223,2)</f>
        <v/>
      </c>
      <c r="AD223" s="127">
        <f t="array" ref="AD223">ROUND((G223*H223)-AC223,2)</f>
        <v/>
      </c>
      <c r="AE223" s="54">
        <f t="array" ref="AE223">_xlfn.IFERROR(ROUND(AC223/(G223*H223),2),0)</f>
        <v/>
      </c>
      <c r="AF223" s="7" t="n"/>
      <c r="AG223" s="7" t="n"/>
      <c r="AH223" s="7" t="n"/>
      <c r="AI223" s="7" t="n"/>
      <c r="AJ223" s="7" t="n"/>
      <c r="AK223" s="7" t="n"/>
      <c r="AL223" s="7" t="n"/>
    </row>
    <row r="224" ht="333" customHeight="1" s="104">
      <c r="A224" s="68" t="n">
        <v>3121</v>
      </c>
      <c r="B224" s="44" t="inlineStr">
        <is>
          <t>LÂMPADA DE MULTIVAPORES METÁLICOS, 1.000 W, BASE E-40, BULBO TUBULAR,  FLUXO LUMINOSO 85.000 LM OU MAIOR, VIDA MEDIANA 9.000 HORAS OU MAIOR, TEMPERATURA DE COR 7.250 K +/- 10%,  IRC≥ 90, TUBO DE QUARTZO, MOD. HQI-T 1000W/D, FAB. OSRAM</t>
        </is>
      </c>
      <c r="C224" s="44" t="inlineStr">
        <is>
          <t>PÇ</t>
        </is>
      </c>
      <c r="D224" s="45" t="n">
        <v>1</v>
      </c>
      <c r="E224" s="45" t="n"/>
      <c r="F224" s="45" t="n"/>
      <c r="G224" s="45">
        <f t="array" ref="G224">SUM(D224:F224)</f>
        <v/>
      </c>
      <c r="H224" s="121">
        <f t="array" ref="H224">VLOOKUP(A224,#REF!,5,0)</f>
        <v/>
      </c>
      <c r="I224" s="122" t="n">
        <v>0</v>
      </c>
      <c r="J224" s="123" t="n">
        <v>0</v>
      </c>
      <c r="K224" s="124" t="n">
        <v>0</v>
      </c>
      <c r="L224" s="123" t="n">
        <v>0</v>
      </c>
      <c r="M224" s="124" t="n">
        <v>0</v>
      </c>
      <c r="N224" s="124" t="n">
        <v>0</v>
      </c>
      <c r="O224" s="124" t="n">
        <v>0</v>
      </c>
      <c r="P224" s="124" t="n">
        <v>0</v>
      </c>
      <c r="Q224" s="124" t="n">
        <v>0</v>
      </c>
      <c r="R224" s="124" t="n">
        <v>0</v>
      </c>
      <c r="S224" s="124" t="n">
        <v>0</v>
      </c>
      <c r="T224" s="124" t="n">
        <v>0</v>
      </c>
      <c r="U224" s="124" t="n"/>
      <c r="V224" s="124" t="n"/>
      <c r="W224" s="125">
        <f t="array" ref="W224">SUM(I224:V224)</f>
        <v/>
      </c>
      <c r="X224" s="126" t="n">
        <v>0</v>
      </c>
      <c r="Y224" s="125">
        <f t="array" ref="Y224">W224+X224</f>
        <v/>
      </c>
      <c r="Z224" s="125">
        <f t="array" ref="Z224">G224-Y224</f>
        <v/>
      </c>
      <c r="AA224" s="121">
        <f t="array" ref="AA224">ROUND(W224*H224,2)</f>
        <v/>
      </c>
      <c r="AB224" s="127">
        <f t="array" ref="AB224">ROUND(X224*H224,2)</f>
        <v/>
      </c>
      <c r="AC224" s="121">
        <f t="array" ref="AC224">ROUND(AA224+AB224,2)</f>
        <v/>
      </c>
      <c r="AD224" s="127">
        <f t="array" ref="AD224">ROUND((G224*H224)-AC224,2)</f>
        <v/>
      </c>
      <c r="AE224" s="54">
        <f t="array" ref="AE224">_xlfn.IFERROR(ROUND(AC224/(G224*H224),2),0)</f>
        <v/>
      </c>
      <c r="AF224" s="7" t="n"/>
      <c r="AG224" s="7" t="n"/>
      <c r="AH224" s="7" t="n"/>
      <c r="AI224" s="7" t="n"/>
      <c r="AJ224" s="7" t="n"/>
      <c r="AK224" s="7" t="n"/>
      <c r="AL224" s="7" t="n"/>
    </row>
    <row r="225" ht="333" customHeight="1" s="104">
      <c r="A225" s="68" t="n">
        <v>3122</v>
      </c>
      <c r="B225" s="44" t="inlineStr">
        <is>
          <t>LÂMPADA DE MULTIVAPORES METÁLICOS, 150 W, BASE E-40, FLUXO LUMINOSO 14.500 LUMENS OU MAIOR, VIDA MEDIANA 15.000 HORAS OU MAIOR, TEMPERATURA DE COR 3000 K +/- 10%,  IRC ≥ 83, TUBO DE DESCARGA CERÂMICO</t>
        </is>
      </c>
      <c r="C225" s="44" t="inlineStr">
        <is>
          <t>PÇ</t>
        </is>
      </c>
      <c r="D225" s="45" t="n">
        <v>9</v>
      </c>
      <c r="E225" s="45" t="n"/>
      <c r="F225" s="45" t="n"/>
      <c r="G225" s="45">
        <f t="array" ref="G225">SUM(D225:F225)</f>
        <v/>
      </c>
      <c r="H225" s="121">
        <f t="array" ref="H225">VLOOKUP(A225,#REF!,5,0)</f>
        <v/>
      </c>
      <c r="I225" s="122" t="n">
        <v>0</v>
      </c>
      <c r="J225" s="123" t="n">
        <v>0</v>
      </c>
      <c r="K225" s="124" t="n">
        <v>0</v>
      </c>
      <c r="L225" s="123" t="n">
        <v>0</v>
      </c>
      <c r="M225" s="124" t="n">
        <v>0</v>
      </c>
      <c r="N225" s="124" t="n">
        <v>0</v>
      </c>
      <c r="O225" s="124" t="n">
        <v>0</v>
      </c>
      <c r="P225" s="124" t="n">
        <v>0</v>
      </c>
      <c r="Q225" s="124" t="n">
        <v>0</v>
      </c>
      <c r="R225" s="124" t="n">
        <v>0</v>
      </c>
      <c r="S225" s="124" t="n">
        <v>0</v>
      </c>
      <c r="T225" s="124" t="n">
        <v>0</v>
      </c>
      <c r="U225" s="124" t="n"/>
      <c r="V225" s="124" t="n"/>
      <c r="W225" s="125">
        <f t="array" ref="W225">SUM(I225:V225)</f>
        <v/>
      </c>
      <c r="X225" s="126" t="n">
        <v>0</v>
      </c>
      <c r="Y225" s="125">
        <f t="array" ref="Y225">W225+X225</f>
        <v/>
      </c>
      <c r="Z225" s="125">
        <f t="array" ref="Z225">G225-Y225</f>
        <v/>
      </c>
      <c r="AA225" s="121">
        <f t="array" ref="AA225">ROUND(W225*H225,2)</f>
        <v/>
      </c>
      <c r="AB225" s="127">
        <f t="array" ref="AB225">ROUND(X225*H225,2)</f>
        <v/>
      </c>
      <c r="AC225" s="121">
        <f t="array" ref="AC225">ROUND(AA225+AB225,2)</f>
        <v/>
      </c>
      <c r="AD225" s="127">
        <f t="array" ref="AD225">ROUND((G225*H225)-AC225,2)</f>
        <v/>
      </c>
      <c r="AE225" s="54">
        <f t="array" ref="AE225">_xlfn.IFERROR(ROUND(AC225/(G225*H225),2),0)</f>
        <v/>
      </c>
      <c r="AF225" s="7" t="n"/>
      <c r="AG225" s="7" t="n"/>
      <c r="AH225" s="7" t="n"/>
      <c r="AI225" s="7" t="n"/>
      <c r="AJ225" s="7" t="n"/>
      <c r="AK225" s="7" t="n"/>
      <c r="AL225" s="7" t="n"/>
    </row>
    <row r="226" ht="266.4" customHeight="1" s="104">
      <c r="A226" s="68" t="n">
        <v>3123</v>
      </c>
      <c r="B226" s="44" t="inlineStr">
        <is>
          <t>LÂMPADA DE MULTIVAPORES METÁLICOS, 250W, BASE E-40, FLUXO LUMINOSO 25.00 LUMENS OU MAIOR, VIDA ÚTIL 24.000 HORAS OU MAIOR, TEMPERATURA DE COR 3000 K +/- 10%,  IRC ≥ 80, TUBO DE DESCARGA CERÂMICO</t>
        </is>
      </c>
      <c r="C226" s="44" t="inlineStr">
        <is>
          <t>PÇ</t>
        </is>
      </c>
      <c r="D226" s="45" t="n">
        <v>7</v>
      </c>
      <c r="E226" s="45" t="n"/>
      <c r="F226" s="45" t="n"/>
      <c r="G226" s="45">
        <f t="array" ref="G226">SUM(D226:F226)</f>
        <v/>
      </c>
      <c r="H226" s="121">
        <f t="array" ref="H226">VLOOKUP(A226,#REF!,5,0)</f>
        <v/>
      </c>
      <c r="I226" s="122" t="n">
        <v>0</v>
      </c>
      <c r="J226" s="123" t="n">
        <v>0</v>
      </c>
      <c r="K226" s="124" t="n">
        <v>0</v>
      </c>
      <c r="L226" s="123" t="n">
        <v>0</v>
      </c>
      <c r="M226" s="124" t="n">
        <v>0</v>
      </c>
      <c r="N226" s="124" t="n">
        <v>0</v>
      </c>
      <c r="O226" s="124" t="n">
        <v>0</v>
      </c>
      <c r="P226" s="124" t="n">
        <v>0</v>
      </c>
      <c r="Q226" s="124" t="n">
        <v>0</v>
      </c>
      <c r="R226" s="124" t="n">
        <v>0</v>
      </c>
      <c r="S226" s="124" t="n">
        <v>0</v>
      </c>
      <c r="T226" s="124" t="n">
        <v>0</v>
      </c>
      <c r="U226" s="124" t="n"/>
      <c r="V226" s="124" t="n"/>
      <c r="W226" s="125">
        <f t="array" ref="W226">SUM(I226:V226)</f>
        <v/>
      </c>
      <c r="X226" s="126" t="n">
        <v>0</v>
      </c>
      <c r="Y226" s="125">
        <f t="array" ref="Y226">W226+X226</f>
        <v/>
      </c>
      <c r="Z226" s="125">
        <f t="array" ref="Z226">G226-Y226</f>
        <v/>
      </c>
      <c r="AA226" s="121">
        <f t="array" ref="AA226">ROUND(W226*H226,2)</f>
        <v/>
      </c>
      <c r="AB226" s="127">
        <f t="array" ref="AB226">ROUND(X226*H226,2)</f>
        <v/>
      </c>
      <c r="AC226" s="121">
        <f t="array" ref="AC226">ROUND(AA226+AB226,2)</f>
        <v/>
      </c>
      <c r="AD226" s="127">
        <f t="array" ref="AD226">ROUND((G226*H226)-AC226,2)</f>
        <v/>
      </c>
      <c r="AE226" s="54">
        <f t="array" ref="AE226">_xlfn.IFERROR(ROUND(AC226/(G226*H226),2),0)</f>
        <v/>
      </c>
      <c r="AF226" s="7" t="n"/>
      <c r="AG226" s="7" t="n"/>
      <c r="AH226" s="7" t="n"/>
      <c r="AI226" s="7" t="n"/>
      <c r="AJ226" s="7" t="n"/>
      <c r="AK226" s="7" t="n"/>
      <c r="AL226" s="7" t="n"/>
    </row>
    <row r="227" ht="266.4" customHeight="1" s="104">
      <c r="A227" s="68" t="n">
        <v>3124</v>
      </c>
      <c r="B227" s="44" t="inlineStr">
        <is>
          <t>LÂMPADA VAPOR DE SÓDIO EM ALTA PRESSÃO, BULBO TUBULAR, 150W,  BASE E-40; FLUXO LUMINOSO 17500 LM OU MAIOR, VIDA MEDIANA MEDIANA 32.000 HORAS OU MAIOR</t>
        </is>
      </c>
      <c r="C227" s="44" t="inlineStr">
        <is>
          <t>PÇ</t>
        </is>
      </c>
      <c r="D227" s="45" t="n">
        <v>135</v>
      </c>
      <c r="E227" s="45" t="n"/>
      <c r="F227" s="45" t="n"/>
      <c r="G227" s="45">
        <f t="array" ref="G227">SUM(D227:F227)</f>
        <v/>
      </c>
      <c r="H227" s="121">
        <f t="array" ref="H227">VLOOKUP(A227,#REF!,5,0)</f>
        <v/>
      </c>
      <c r="I227" s="122" t="n">
        <v>0</v>
      </c>
      <c r="J227" s="123" t="n">
        <v>0</v>
      </c>
      <c r="K227" s="124" t="n">
        <v>0</v>
      </c>
      <c r="L227" s="123" t="n">
        <v>0</v>
      </c>
      <c r="M227" s="124" t="n">
        <v>0</v>
      </c>
      <c r="N227" s="124" t="n">
        <v>0</v>
      </c>
      <c r="O227" s="124" t="n">
        <v>0</v>
      </c>
      <c r="P227" s="124" t="n">
        <v>0</v>
      </c>
      <c r="Q227" s="124" t="n">
        <v>0</v>
      </c>
      <c r="R227" s="124" t="n">
        <v>0</v>
      </c>
      <c r="S227" s="124" t="n">
        <v>0</v>
      </c>
      <c r="T227" s="124" t="n">
        <v>0</v>
      </c>
      <c r="U227" s="124" t="n"/>
      <c r="V227" s="124" t="n"/>
      <c r="W227" s="125">
        <f t="array" ref="W227">SUM(I227:V227)</f>
        <v/>
      </c>
      <c r="X227" s="126" t="n">
        <v>0</v>
      </c>
      <c r="Y227" s="125">
        <f t="array" ref="Y227">W227+X227</f>
        <v/>
      </c>
      <c r="Z227" s="125">
        <f t="array" ref="Z227">G227-Y227</f>
        <v/>
      </c>
      <c r="AA227" s="121">
        <f t="array" ref="AA227">ROUND(W227*H227,2)</f>
        <v/>
      </c>
      <c r="AB227" s="127">
        <f t="array" ref="AB227">ROUND(X227*H227,2)</f>
        <v/>
      </c>
      <c r="AC227" s="121">
        <f t="array" ref="AC227">ROUND(AA227+AB227,2)</f>
        <v/>
      </c>
      <c r="AD227" s="127">
        <f t="array" ref="AD227">ROUND((G227*H227)-AC227,2)</f>
        <v/>
      </c>
      <c r="AE227" s="54">
        <f t="array" ref="AE227">_xlfn.IFERROR(ROUND(AC227/(G227*H227),2),0)</f>
        <v/>
      </c>
      <c r="AF227" s="7" t="n"/>
      <c r="AG227" s="7" t="n"/>
      <c r="AH227" s="7" t="n"/>
      <c r="AI227" s="7" t="n"/>
      <c r="AJ227" s="7" t="n"/>
      <c r="AK227" s="7" t="n"/>
      <c r="AL227" s="7" t="n"/>
    </row>
    <row r="228" ht="266.4" customHeight="1" s="104">
      <c r="A228" s="68" t="n">
        <v>3125</v>
      </c>
      <c r="B228" s="44" t="inlineStr">
        <is>
          <t>LÂMPADA VAPOR DE SÓDIO EM ALTA PRESSÃO, BULBO TUBULAR, 250W,  BASE E-40; FLUXO LUMINOSO 33200 LM OU MAIOR, VIDA MEDIANA MEDIANA 32.000 HORAS OU MAIOR</t>
        </is>
      </c>
      <c r="C228" s="44" t="inlineStr">
        <is>
          <t>PÇ</t>
        </is>
      </c>
      <c r="D228" s="45" t="n">
        <v>75</v>
      </c>
      <c r="E228" s="45" t="n"/>
      <c r="F228" s="45" t="n"/>
      <c r="G228" s="45">
        <f t="array" ref="G228">SUM(D228:F228)</f>
        <v/>
      </c>
      <c r="H228" s="121">
        <f t="array" ref="H228">VLOOKUP(A228,#REF!,5,0)</f>
        <v/>
      </c>
      <c r="I228" s="122" t="n">
        <v>0</v>
      </c>
      <c r="J228" s="123" t="n">
        <v>0</v>
      </c>
      <c r="K228" s="124" t="n">
        <v>0</v>
      </c>
      <c r="L228" s="123" t="n">
        <v>0</v>
      </c>
      <c r="M228" s="124" t="n">
        <v>0</v>
      </c>
      <c r="N228" s="124" t="n">
        <v>0</v>
      </c>
      <c r="O228" s="124" t="n">
        <v>0</v>
      </c>
      <c r="P228" s="124" t="n">
        <v>0</v>
      </c>
      <c r="Q228" s="124" t="n">
        <v>0</v>
      </c>
      <c r="R228" s="124" t="n">
        <v>0</v>
      </c>
      <c r="S228" s="124" t="n">
        <v>0</v>
      </c>
      <c r="T228" s="124" t="n">
        <v>0</v>
      </c>
      <c r="U228" s="124" t="n"/>
      <c r="V228" s="124" t="n"/>
      <c r="W228" s="125">
        <f t="array" ref="W228">SUM(I228:V228)</f>
        <v/>
      </c>
      <c r="X228" s="126" t="n">
        <v>0</v>
      </c>
      <c r="Y228" s="125">
        <f t="array" ref="Y228">W228+X228</f>
        <v/>
      </c>
      <c r="Z228" s="125">
        <f t="array" ref="Z228">G228-Y228</f>
        <v/>
      </c>
      <c r="AA228" s="121">
        <f t="array" ref="AA228">ROUND(W228*H228,2)</f>
        <v/>
      </c>
      <c r="AB228" s="127">
        <f t="array" ref="AB228">ROUND(X228*H228,2)</f>
        <v/>
      </c>
      <c r="AC228" s="121">
        <f t="array" ref="AC228">ROUND(AA228+AB228,2)</f>
        <v/>
      </c>
      <c r="AD228" s="127">
        <f t="array" ref="AD228">ROUND((G228*H228)-AC228,2)</f>
        <v/>
      </c>
      <c r="AE228" s="54">
        <f t="array" ref="AE228">_xlfn.IFERROR(ROUND(AC228/(G228*H228),2),0)</f>
        <v/>
      </c>
      <c r="AF228" s="7" t="n"/>
      <c r="AG228" s="7" t="n"/>
      <c r="AH228" s="7" t="n"/>
      <c r="AI228" s="7" t="n"/>
      <c r="AJ228" s="7" t="n"/>
      <c r="AK228" s="7" t="n"/>
      <c r="AL228" s="7" t="n"/>
    </row>
    <row r="229" ht="266.4" customHeight="1" s="104">
      <c r="A229" s="68" t="n">
        <v>3126</v>
      </c>
      <c r="B229" s="44" t="inlineStr">
        <is>
          <t>LÂMPADA VAPOR DE SÓDIO EM ALTA PRESSÃO, BULBO TUBULAR, 400W,  BASE E-40; FLUXO LUMINOSO 56500 LM OU MAIOR, VIDA MEDIANA MEDIANA 32.000 HORAS OU MAIOR</t>
        </is>
      </c>
      <c r="C229" s="44" t="inlineStr">
        <is>
          <t>PÇ</t>
        </is>
      </c>
      <c r="D229" s="45" t="n">
        <v>33</v>
      </c>
      <c r="E229" s="45" t="n"/>
      <c r="F229" s="45" t="n"/>
      <c r="G229" s="45">
        <f t="array" ref="G229">SUM(D229:F229)</f>
        <v/>
      </c>
      <c r="H229" s="121">
        <f t="array" ref="H229">VLOOKUP(A229,#REF!,5,0)</f>
        <v/>
      </c>
      <c r="I229" s="122" t="n">
        <v>0</v>
      </c>
      <c r="J229" s="123" t="n">
        <v>0</v>
      </c>
      <c r="K229" s="124" t="n">
        <v>0</v>
      </c>
      <c r="L229" s="123" t="n">
        <v>0</v>
      </c>
      <c r="M229" s="124" t="n">
        <v>0</v>
      </c>
      <c r="N229" s="124" t="n">
        <v>0</v>
      </c>
      <c r="O229" s="124" t="n">
        <v>0</v>
      </c>
      <c r="P229" s="124" t="n">
        <v>0</v>
      </c>
      <c r="Q229" s="124" t="n">
        <v>0</v>
      </c>
      <c r="R229" s="124" t="n">
        <v>0</v>
      </c>
      <c r="S229" s="124" t="n">
        <v>0</v>
      </c>
      <c r="T229" s="124" t="n">
        <v>0</v>
      </c>
      <c r="U229" s="124" t="n"/>
      <c r="V229" s="124" t="n"/>
      <c r="W229" s="125">
        <f t="array" ref="W229">SUM(I229:V229)</f>
        <v/>
      </c>
      <c r="X229" s="126" t="n">
        <v>0</v>
      </c>
      <c r="Y229" s="125">
        <f t="array" ref="Y229">W229+X229</f>
        <v/>
      </c>
      <c r="Z229" s="125">
        <f t="array" ref="Z229">G229-Y229</f>
        <v/>
      </c>
      <c r="AA229" s="121">
        <f t="array" ref="AA229">ROUND(W229*H229,2)</f>
        <v/>
      </c>
      <c r="AB229" s="127">
        <f t="array" ref="AB229">ROUND(X229*H229,2)</f>
        <v/>
      </c>
      <c r="AC229" s="121">
        <f t="array" ref="AC229">ROUND(AA229+AB229,2)</f>
        <v/>
      </c>
      <c r="AD229" s="127">
        <f t="array" ref="AD229">ROUND((G229*H229)-AC229,2)</f>
        <v/>
      </c>
      <c r="AE229" s="54">
        <f t="array" ref="AE229">_xlfn.IFERROR(ROUND(AC229/(G229*H229),2),0)</f>
        <v/>
      </c>
      <c r="AF229" s="7" t="n"/>
      <c r="AG229" s="7" t="n"/>
      <c r="AH229" s="7" t="n"/>
      <c r="AI229" s="7" t="n"/>
      <c r="AJ229" s="7" t="n"/>
      <c r="AK229" s="7" t="n"/>
      <c r="AL229" s="7" t="n"/>
    </row>
    <row r="230" ht="266.4" customHeight="1" s="104">
      <c r="A230" s="68" t="n">
        <v>3127</v>
      </c>
      <c r="B230" s="44" t="inlineStr">
        <is>
          <t>LÂMPADA VAPOR DE SÓDIO EM ALTA PRESSÃO,  70W, BULBO TUBULAR, BASE E-27, FLUXO LUMINOSO 6600 LM OU MAIOR, VIDA MEDIANA MEDIANA 28.000 HORAS OU MAIOR</t>
        </is>
      </c>
      <c r="C230" s="44" t="inlineStr">
        <is>
          <t>PÇ</t>
        </is>
      </c>
      <c r="D230" s="45" t="n">
        <v>1000</v>
      </c>
      <c r="E230" s="45" t="n"/>
      <c r="F230" s="45" t="n"/>
      <c r="G230" s="45">
        <f t="array" ref="G230">SUM(D230:F230)</f>
        <v/>
      </c>
      <c r="H230" s="121">
        <f t="array" ref="H230">VLOOKUP(A230,#REF!,5,0)</f>
        <v/>
      </c>
      <c r="I230" s="122" t="n">
        <v>0</v>
      </c>
      <c r="J230" s="123" t="n">
        <v>0</v>
      </c>
      <c r="K230" s="124" t="n">
        <v>0</v>
      </c>
      <c r="L230" s="123" t="n">
        <v>0</v>
      </c>
      <c r="M230" s="124" t="n">
        <v>0</v>
      </c>
      <c r="N230" s="124" t="n">
        <v>0</v>
      </c>
      <c r="O230" s="124" t="n">
        <v>0</v>
      </c>
      <c r="P230" s="124" t="n">
        <v>0</v>
      </c>
      <c r="Q230" s="124" t="n">
        <v>0</v>
      </c>
      <c r="R230" s="124" t="n">
        <v>0</v>
      </c>
      <c r="S230" s="124" t="n">
        <v>0</v>
      </c>
      <c r="T230" s="124" t="n">
        <v>0</v>
      </c>
      <c r="U230" s="124" t="n"/>
      <c r="V230" s="124" t="n"/>
      <c r="W230" s="125">
        <f t="array" ref="W230">SUM(I230:V230)</f>
        <v/>
      </c>
      <c r="X230" s="126" t="n">
        <v>0</v>
      </c>
      <c r="Y230" s="125">
        <f t="array" ref="Y230">W230+X230</f>
        <v/>
      </c>
      <c r="Z230" s="125">
        <f t="array" ref="Z230">G230-Y230</f>
        <v/>
      </c>
      <c r="AA230" s="121">
        <f t="array" ref="AA230">ROUND(W230*H230,2)</f>
        <v/>
      </c>
      <c r="AB230" s="127">
        <f t="array" ref="AB230">ROUND(X230*H230,2)</f>
        <v/>
      </c>
      <c r="AC230" s="121">
        <f t="array" ref="AC230">ROUND(AA230+AB230,2)</f>
        <v/>
      </c>
      <c r="AD230" s="127">
        <f t="array" ref="AD230">ROUND((G230*H230)-AC230,2)</f>
        <v/>
      </c>
      <c r="AE230" s="54">
        <f t="array" ref="AE230">_xlfn.IFERROR(ROUND(AC230/(G230*H230),2),0)</f>
        <v/>
      </c>
      <c r="AF230" s="7" t="n"/>
      <c r="AG230" s="7" t="n"/>
      <c r="AH230" s="7" t="n"/>
      <c r="AI230" s="7" t="n"/>
      <c r="AJ230" s="7" t="n"/>
      <c r="AK230" s="7" t="n"/>
      <c r="AL230" s="7" t="n"/>
    </row>
    <row r="231" ht="333" customHeight="1" s="104">
      <c r="A231" s="68" t="n">
        <v>3128</v>
      </c>
      <c r="B231" s="44" t="inlineStr">
        <is>
          <t>LUMINÁRIA LED VIÁRIA PARA ILUMINAÇÃO PÚBLICA TIPO B, POTÊNCIA MÁXIMA 70W, FLUXO LUMINOSO MÍNIMO DE 9.100 LUMENS, CERTIFICADA DE ACORDO COM A PORTARIA Nº 20 DO INMETRO DE 15 DE FEVEREIRO DE 2017 CONFORME TERMO DE REFERÊNCIA</t>
        </is>
      </c>
      <c r="C231" s="44" t="inlineStr">
        <is>
          <t>PÇ</t>
        </is>
      </c>
      <c r="D231" s="45" t="n">
        <v>817</v>
      </c>
      <c r="E231" s="45" t="n"/>
      <c r="F231" s="45" t="n">
        <v>55</v>
      </c>
      <c r="G231" s="45">
        <f t="array" ref="G231">SUM(D231:F231)</f>
        <v/>
      </c>
      <c r="H231" s="121">
        <f t="array" ref="H231">VLOOKUP(A231,#REF!,5,0)</f>
        <v/>
      </c>
      <c r="I231" s="122" t="n">
        <v>36</v>
      </c>
      <c r="J231" s="123" t="n">
        <v>87</v>
      </c>
      <c r="K231" s="124" t="n">
        <v>173</v>
      </c>
      <c r="L231" s="123" t="n">
        <v>190</v>
      </c>
      <c r="M231" s="124" t="n">
        <v>14</v>
      </c>
      <c r="N231" s="124" t="n">
        <v>104</v>
      </c>
      <c r="O231" s="124" t="n">
        <v>22</v>
      </c>
      <c r="P231" s="124" t="n">
        <v>24</v>
      </c>
      <c r="Q231" s="124" t="n">
        <v>56</v>
      </c>
      <c r="R231" s="124" t="n">
        <v>110</v>
      </c>
      <c r="S231" s="124" t="n">
        <v>29</v>
      </c>
      <c r="T231" s="124" t="n">
        <v>25</v>
      </c>
      <c r="U231" s="124" t="n"/>
      <c r="V231" s="124" t="n"/>
      <c r="W231" s="125">
        <f t="array" ref="W231">SUM(I231:V231)</f>
        <v/>
      </c>
      <c r="X231" s="126" t="n">
        <v>2</v>
      </c>
      <c r="Y231" s="125">
        <f t="array" ref="Y231">W231+X231</f>
        <v/>
      </c>
      <c r="Z231" s="125">
        <f t="array" ref="Z231">G231-Y231</f>
        <v/>
      </c>
      <c r="AA231" s="121">
        <f t="array" ref="AA231">ROUND(W231*H231,2)</f>
        <v/>
      </c>
      <c r="AB231" s="127">
        <f t="array" ref="AB231">ROUND(X231*H231,2)</f>
        <v/>
      </c>
      <c r="AC231" s="121">
        <f t="array" ref="AC231">ROUND(AA231+AB231,2)</f>
        <v/>
      </c>
      <c r="AD231" s="127">
        <f t="array" ref="AD231">ROUND((G231*H231)-AC231,2)</f>
        <v/>
      </c>
      <c r="AE231" s="54">
        <f t="array" ref="AE231">_xlfn.IFERROR(ROUND(AC231/(G231*H231),2),0)</f>
        <v/>
      </c>
      <c r="AF231" s="7" t="n"/>
      <c r="AG231" s="7" t="n"/>
      <c r="AH231" s="7" t="n"/>
      <c r="AI231" s="7" t="n"/>
      <c r="AJ231" s="7" t="n"/>
      <c r="AK231" s="7" t="n"/>
      <c r="AL231" s="7" t="n"/>
    </row>
    <row r="232" ht="333" customHeight="1" s="104">
      <c r="A232" s="68" t="n">
        <v>3129</v>
      </c>
      <c r="B232" s="44" t="inlineStr">
        <is>
          <t>LUMINÁRIA LED VIÁRIA PARA ILUMINAÇÃO PÚBLICA TIPO D, POTÊNCIA MÁXIMA 100W, FLUXO LUMINOSO MÍNIMO DE 13.000 LUMENS, CERTIFICADA DE ACORDO COM A PORTARIA Nº 20 DO INMETRO DE 15 DE FEVEREIRO DE 2017 CONFORME TERMO DE REFERÊNCIA</t>
        </is>
      </c>
      <c r="C232" s="44" t="inlineStr">
        <is>
          <t>PÇ</t>
        </is>
      </c>
      <c r="D232" s="45" t="n">
        <v>223</v>
      </c>
      <c r="E232" s="45" t="n">
        <v>90</v>
      </c>
      <c r="F232" s="45" t="n">
        <v>50</v>
      </c>
      <c r="G232" s="45">
        <f t="array" ref="G232">SUM(D232:F232)</f>
        <v/>
      </c>
      <c r="H232" s="121">
        <f t="array" ref="H232">VLOOKUP(A232,#REF!,5,0)</f>
        <v/>
      </c>
      <c r="I232" s="122" t="n">
        <v>45</v>
      </c>
      <c r="J232" s="123" t="n">
        <v>127</v>
      </c>
      <c r="K232" s="124" t="n">
        <v>20</v>
      </c>
      <c r="L232" s="123" t="n">
        <v>85</v>
      </c>
      <c r="M232" s="124" t="n">
        <v>1</v>
      </c>
      <c r="N232" s="124" t="n">
        <v>41</v>
      </c>
      <c r="O232" s="124" t="n">
        <v>12</v>
      </c>
      <c r="P232" s="124" t="n">
        <v>19</v>
      </c>
      <c r="Q232" s="124" t="n">
        <v>13</v>
      </c>
      <c r="R232" s="124" t="n">
        <v>0</v>
      </c>
      <c r="S232" s="124" t="n">
        <v>0</v>
      </c>
      <c r="T232" s="124" t="n">
        <v>0</v>
      </c>
      <c r="U232" s="124" t="n"/>
      <c r="V232" s="124" t="n"/>
      <c r="W232" s="125">
        <f t="array" ref="W232">SUM(I232:V232)</f>
        <v/>
      </c>
      <c r="X232" s="126" t="n">
        <v>0</v>
      </c>
      <c r="Y232" s="125">
        <f t="array" ref="Y232">W232+X232</f>
        <v/>
      </c>
      <c r="Z232" s="125">
        <f t="array" ref="Z232">G232-Y232</f>
        <v/>
      </c>
      <c r="AA232" s="121">
        <f t="array" ref="AA232">ROUND(W232*H232,2)</f>
        <v/>
      </c>
      <c r="AB232" s="127">
        <f t="array" ref="AB232">ROUND(X232*H232,2)</f>
        <v/>
      </c>
      <c r="AC232" s="121">
        <f t="array" ref="AC232">ROUND(AA232+AB232,2)</f>
        <v/>
      </c>
      <c r="AD232" s="127">
        <f t="array" ref="AD232">ROUND((G232*H232)-AC232,2)</f>
        <v/>
      </c>
      <c r="AE232" s="54">
        <f t="array" ref="AE232">_xlfn.IFERROR(ROUND(AC232/(G232*H232),2),0)</f>
        <v/>
      </c>
      <c r="AF232" s="7" t="n"/>
      <c r="AG232" s="7" t="n"/>
      <c r="AH232" s="7" t="n"/>
      <c r="AI232" s="7" t="n"/>
      <c r="AJ232" s="7" t="n"/>
      <c r="AK232" s="7" t="n"/>
      <c r="AL232" s="7" t="n"/>
    </row>
    <row r="233" ht="333" customHeight="1" s="104">
      <c r="A233" s="68" t="n">
        <v>3130</v>
      </c>
      <c r="B233" s="44" t="inlineStr">
        <is>
          <t>LUMINÁRIA LED VIÁRIA PARA ILUMINAÇÃO PÚBLICA TIPO F, POTÊNCIA MÁXIMA 140W, FLUXO LUMINOSO MÍNIMO DE 18.200 LUMENS, CERTIFICADA DE ACORDO COM A PORTARIA Nº 20 DO INMETRO DE 15 DE FEVEREIRO DE 2017 CONFORME TERMO DE REFERÊNCIA</t>
        </is>
      </c>
      <c r="C233" s="44" t="inlineStr">
        <is>
          <t>PÇ</t>
        </is>
      </c>
      <c r="D233" s="45" t="n">
        <v>311</v>
      </c>
      <c r="E233" s="45" t="n">
        <v>90</v>
      </c>
      <c r="F233" s="45" t="n">
        <v>50</v>
      </c>
      <c r="G233" s="45">
        <f t="array" ref="G233">SUM(D233:F233)</f>
        <v/>
      </c>
      <c r="H233" s="121">
        <f t="array" ref="H233">VLOOKUP(A233,#REF!,5,0)</f>
        <v/>
      </c>
      <c r="I233" s="122" t="n">
        <v>1</v>
      </c>
      <c r="J233" s="123" t="n">
        <v>14</v>
      </c>
      <c r="K233" s="124" t="n">
        <v>18</v>
      </c>
      <c r="L233" s="123" t="n">
        <v>22</v>
      </c>
      <c r="M233" s="124" t="n">
        <v>1</v>
      </c>
      <c r="N233" s="124" t="n">
        <v>26</v>
      </c>
      <c r="O233" s="124" t="n">
        <v>24</v>
      </c>
      <c r="P233" s="124" t="n">
        <v>3</v>
      </c>
      <c r="Q233" s="124" t="n">
        <v>50</v>
      </c>
      <c r="R233" s="124" t="n">
        <v>92</v>
      </c>
      <c r="S233" s="124" t="n">
        <v>115</v>
      </c>
      <c r="T233" s="124" t="n">
        <v>71</v>
      </c>
      <c r="U233" s="124" t="n"/>
      <c r="V233" s="124" t="n"/>
      <c r="W233" s="125">
        <f t="array" ref="W233">SUM(I233:V233)</f>
        <v/>
      </c>
      <c r="X233" s="126" t="n">
        <v>5</v>
      </c>
      <c r="Y233" s="125">
        <f t="array" ref="Y233">W233+X233</f>
        <v/>
      </c>
      <c r="Z233" s="125">
        <f t="array" ref="Z233">G233-Y233</f>
        <v/>
      </c>
      <c r="AA233" s="121">
        <f t="array" ref="AA233">ROUND(W233*H233,2)</f>
        <v/>
      </c>
      <c r="AB233" s="127">
        <f t="array" ref="AB233">ROUND(X233*H233,2)</f>
        <v/>
      </c>
      <c r="AC233" s="121">
        <f t="array" ref="AC233">ROUND(AA233+AB233,2)</f>
        <v/>
      </c>
      <c r="AD233" s="127">
        <f t="array" ref="AD233">ROUND((G233*H233)-AC233,2)</f>
        <v/>
      </c>
      <c r="AE233" s="54">
        <f t="array" ref="AE233">_xlfn.IFERROR(ROUND(AC233/(G233*H233),2),0)</f>
        <v/>
      </c>
      <c r="AF233" s="7" t="n"/>
      <c r="AG233" s="7" t="n"/>
      <c r="AH233" s="7" t="n"/>
      <c r="AI233" s="7" t="n"/>
      <c r="AJ233" s="7" t="n"/>
      <c r="AK233" s="7" t="n"/>
      <c r="AL233" s="7" t="n"/>
    </row>
    <row r="234" ht="333" customHeight="1" s="104">
      <c r="A234" s="68" t="n">
        <v>3131</v>
      </c>
      <c r="B234" s="44" t="inlineStr">
        <is>
          <t>LUMINÁRIA LED VIÁRIA PARA ILUMINAÇÃO PÚBLICA TIPO H, POTÊNCIA MÁXIMA 220W, FLUXO LUMINOSO MÍNIMO DE 28.600 LUMENS, CERTIFICADA DE ACORDO COM A PORTARIA Nº 20 DO INMETRO DE 15 DE FEVEREIRO DE 2017 CONFORME TERMO DE REFERÊNCIA</t>
        </is>
      </c>
      <c r="C234" s="44" t="inlineStr">
        <is>
          <t>PÇ</t>
        </is>
      </c>
      <c r="D234" s="45" t="n">
        <v>298</v>
      </c>
      <c r="E234" s="45" t="n"/>
      <c r="F234" s="45" t="n"/>
      <c r="G234" s="45">
        <f t="array" ref="G234">SUM(D234:F234)</f>
        <v/>
      </c>
      <c r="H234" s="121">
        <f t="array" ref="H234">VLOOKUP(A234,#REF!,5,0)</f>
        <v/>
      </c>
      <c r="I234" s="122" t="n">
        <v>0</v>
      </c>
      <c r="J234" s="123" t="n">
        <v>0</v>
      </c>
      <c r="K234" s="124" t="n">
        <v>4</v>
      </c>
      <c r="L234" s="123" t="n">
        <v>0</v>
      </c>
      <c r="M234" s="124" t="n">
        <v>64</v>
      </c>
      <c r="N234" s="124" t="n">
        <v>63</v>
      </c>
      <c r="O234" s="124" t="n">
        <v>11</v>
      </c>
      <c r="P234" s="124" t="n">
        <v>3</v>
      </c>
      <c r="Q234" s="124" t="n">
        <v>19</v>
      </c>
      <c r="R234" s="124" t="n">
        <v>56</v>
      </c>
      <c r="S234" s="124" t="n">
        <v>24</v>
      </c>
      <c r="T234" s="124" t="n">
        <v>54</v>
      </c>
      <c r="U234" s="124" t="n"/>
      <c r="V234" s="124" t="n"/>
      <c r="W234" s="125">
        <f t="array" ref="W234">SUM(I234:V234)</f>
        <v/>
      </c>
      <c r="X234" s="126" t="n">
        <v>0</v>
      </c>
      <c r="Y234" s="125">
        <f t="array" ref="Y234">W234+X234</f>
        <v/>
      </c>
      <c r="Z234" s="125">
        <f t="array" ref="Z234">G234-Y234</f>
        <v/>
      </c>
      <c r="AA234" s="121">
        <f t="array" ref="AA234">ROUND(W234*H234,2)</f>
        <v/>
      </c>
      <c r="AB234" s="127">
        <f t="array" ref="AB234">ROUND(X234*H234,2)</f>
        <v/>
      </c>
      <c r="AC234" s="121">
        <f t="array" ref="AC234">ROUND(AA234+AB234,2)</f>
        <v/>
      </c>
      <c r="AD234" s="127">
        <f t="array" ref="AD234">ROUND((G234*H234)-AC234,2)</f>
        <v/>
      </c>
      <c r="AE234" s="54">
        <f t="array" ref="AE234">_xlfn.IFERROR(ROUND(AC234/(G234*H234),2),0)</f>
        <v/>
      </c>
      <c r="AF234" s="7" t="n"/>
      <c r="AG234" s="7" t="n"/>
      <c r="AH234" s="7" t="n"/>
      <c r="AI234" s="7" t="n"/>
      <c r="AJ234" s="7" t="n"/>
      <c r="AK234" s="7" t="n"/>
      <c r="AL234" s="7" t="n"/>
    </row>
    <row r="235" ht="333" customHeight="1" s="104">
      <c r="A235" s="68" t="n">
        <v>3132</v>
      </c>
      <c r="B235" s="44" t="inlineStr">
        <is>
          <t>LUMINÁRIA LED VIÁRIA PARA ILUMINAÇÃO PÚBLICA TIPO I, POTÊNCIA MÁXIMA 270W, FLUXO LUMINOSO MÍNIMO DE 35.100 LUMENS, CERTIFICADA DE ACORDO COM A PORTARIA Nº 20 DO INMETRO DE 15 DE FEVEREIRO DE 2017 CONFORME TERMO DE REFERÊNCIA</t>
        </is>
      </c>
      <c r="C235" s="44" t="inlineStr">
        <is>
          <t>PÇ</t>
        </is>
      </c>
      <c r="D235" s="45" t="n">
        <v>194</v>
      </c>
      <c r="E235" s="45" t="n"/>
      <c r="F235" s="45" t="n"/>
      <c r="G235" s="45">
        <f t="array" ref="G235">SUM(D235:F235)</f>
        <v/>
      </c>
      <c r="H235" s="121">
        <f t="array" ref="H235">VLOOKUP(A235,#REF!,5,0)</f>
        <v/>
      </c>
      <c r="I235" s="122" t="n">
        <v>0</v>
      </c>
      <c r="J235" s="123" t="n">
        <v>0</v>
      </c>
      <c r="K235" s="124" t="n">
        <v>0</v>
      </c>
      <c r="L235" s="123" t="n">
        <v>0</v>
      </c>
      <c r="M235" s="124" t="n">
        <v>0</v>
      </c>
      <c r="N235" s="124" t="n">
        <v>0</v>
      </c>
      <c r="O235" s="124" t="n">
        <v>0</v>
      </c>
      <c r="P235" s="124" t="n">
        <v>0</v>
      </c>
      <c r="Q235" s="124" t="n">
        <v>0</v>
      </c>
      <c r="R235" s="124" t="n">
        <v>0</v>
      </c>
      <c r="S235" s="124" t="n">
        <v>0</v>
      </c>
      <c r="T235" s="124" t="n">
        <v>0</v>
      </c>
      <c r="U235" s="124" t="n"/>
      <c r="V235" s="124" t="n"/>
      <c r="W235" s="125">
        <f t="array" ref="W235">SUM(I235:V235)</f>
        <v/>
      </c>
      <c r="X235" s="126" t="n">
        <v>0</v>
      </c>
      <c r="Y235" s="125">
        <f t="array" ref="Y235">W235+X235</f>
        <v/>
      </c>
      <c r="Z235" s="125">
        <f t="array" ref="Z235">G235-Y235</f>
        <v/>
      </c>
      <c r="AA235" s="121">
        <f t="array" ref="AA235">ROUND(W235*H235,2)</f>
        <v/>
      </c>
      <c r="AB235" s="127">
        <f t="array" ref="AB235">ROUND(X235*H235,2)</f>
        <v/>
      </c>
      <c r="AC235" s="121">
        <f t="array" ref="AC235">ROUND(AA235+AB235,2)</f>
        <v/>
      </c>
      <c r="AD235" s="127">
        <f t="array" ref="AD235">ROUND((G235*H235)-AC235,2)</f>
        <v/>
      </c>
      <c r="AE235" s="54">
        <f t="array" ref="AE235">_xlfn.IFERROR(ROUND(AC235/(G235*H235),2),0)</f>
        <v/>
      </c>
      <c r="AF235" s="7" t="n"/>
      <c r="AG235" s="7" t="n"/>
      <c r="AH235" s="7" t="n"/>
      <c r="AI235" s="7" t="n"/>
      <c r="AJ235" s="7" t="n"/>
      <c r="AK235" s="7" t="n"/>
      <c r="AL235" s="7" t="n"/>
    </row>
    <row r="236" ht="409.6" customHeight="1" s="104">
      <c r="A236" s="68" t="n">
        <v>3133</v>
      </c>
      <c r="B236" s="44" t="inlineStr">
        <is>
          <t>LUMINÁRIA DECORATIVA DE LED PARA ILUMINAÇÃO DE ESPAÇOS PÚBLICOS, GRAU DE PROTEÇÃO DO CONJUNTO ÓPTICO E ALOJAMENTO DOS EQUIPAMENTOS AUXILIARES IP65 OU MAIOR, RESISTÊNCIA A CHOQUE IK 08 OU MAIOR, FIXAÇÃO EM TOPO DE POSTE DE 60,3MM, CONTROLADOR PARA TELEGESTÃO,  TEMPERATURA DE OPERAÇÃO ENTRE - 30ºC A 50ºC, IRC IGUAL OU MAIOR QUE 70, 220V, 60HZ, POTÊNCIA MÁXIMA DE 65W, FLUXO LUMINOSO MÍNIMO DE 6.400LM, COM OPÇÕES DE DISTRIBUIÇÃO FOTOMÉTRICA SIMÉTRICA E ASSIMÉTRICA</t>
        </is>
      </c>
      <c r="C236" s="44" t="inlineStr">
        <is>
          <t>PÇ</t>
        </is>
      </c>
      <c r="D236" s="45" t="n">
        <v>7</v>
      </c>
      <c r="E236" s="45" t="n"/>
      <c r="F236" s="45" t="n"/>
      <c r="G236" s="45">
        <f t="array" ref="G236">SUM(D236:F236)</f>
        <v/>
      </c>
      <c r="H236" s="121">
        <f t="array" ref="H236">VLOOKUP(A236,#REF!,5,0)</f>
        <v/>
      </c>
      <c r="I236" s="122" t="n">
        <v>0</v>
      </c>
      <c r="J236" s="123" t="n">
        <v>0</v>
      </c>
      <c r="K236" s="124" t="n">
        <v>0</v>
      </c>
      <c r="L236" s="123" t="n">
        <v>0</v>
      </c>
      <c r="M236" s="124" t="n">
        <v>0</v>
      </c>
      <c r="N236" s="124" t="n">
        <v>0</v>
      </c>
      <c r="O236" s="124" t="n">
        <v>0</v>
      </c>
      <c r="P236" s="124" t="n">
        <v>0</v>
      </c>
      <c r="Q236" s="124" t="n">
        <v>0</v>
      </c>
      <c r="R236" s="124" t="n">
        <v>0</v>
      </c>
      <c r="S236" s="124" t="n">
        <v>0</v>
      </c>
      <c r="T236" s="124" t="n">
        <v>0</v>
      </c>
      <c r="U236" s="124" t="n"/>
      <c r="V236" s="124" t="n"/>
      <c r="W236" s="125">
        <f t="array" ref="W236">SUM(I236:V236)</f>
        <v/>
      </c>
      <c r="X236" s="126" t="n">
        <v>0</v>
      </c>
      <c r="Y236" s="125">
        <f t="array" ref="Y236">W236+X236</f>
        <v/>
      </c>
      <c r="Z236" s="125">
        <f t="array" ref="Z236">G236-Y236</f>
        <v/>
      </c>
      <c r="AA236" s="121">
        <f t="array" ref="AA236">ROUND(W236*H236,2)</f>
        <v/>
      </c>
      <c r="AB236" s="127">
        <f t="array" ref="AB236">ROUND(X236*H236,2)</f>
        <v/>
      </c>
      <c r="AC236" s="121">
        <f t="array" ref="AC236">ROUND(AA236+AB236,2)</f>
        <v/>
      </c>
      <c r="AD236" s="127">
        <f t="array" ref="AD236">ROUND((G236*H236)-AC236,2)</f>
        <v/>
      </c>
      <c r="AE236" s="54">
        <f t="array" ref="AE236">_xlfn.IFERROR(ROUND(AC236/(G236*H236),2),0)</f>
        <v/>
      </c>
      <c r="AF236" s="7" t="n"/>
      <c r="AG236" s="7" t="n"/>
      <c r="AH236" s="7" t="n"/>
      <c r="AI236" s="7" t="n"/>
      <c r="AJ236" s="7" t="n"/>
      <c r="AK236" s="7" t="n"/>
      <c r="AL236" s="7" t="n"/>
    </row>
    <row r="237" ht="409.6" customHeight="1" s="104">
      <c r="A237" s="68" t="n">
        <v>3134</v>
      </c>
      <c r="B237" s="44" t="inlineStr">
        <is>
          <t>LUMINÁRIA DECORATIVA DE LED PARA ILUMINAÇÃO DE ESPAÇOS PÚBLICOS, GRAU DE PROTEÇÃO DO CONJUNTO ÓPTICO E ALOJAMENTO DOS EQUIPAMENTOS AUXILIARES IP65 OU MAIOR, RESISTÊNCIA A CHOQUE IK 08 OU MAIOR, FIXAÇÃO EM TOPO DE POSTE DE 60,3MM, CONTROLADOR PARA TELEGESTÃO,  TEMPERATURA DE OPERAÇÃO ENTRE - 30ºC A 50ºC, IRC IGUAL OU MAIOR QUE 70, 220V, 60HZ, POTÊNCIA MÁXIMA DE 90W, FLUXO LUMINOSO MÍNIMO DE 9.500LM, COM OPÇÕES DE DISTRIBUIÇÃO FOTOMÉTRICA SIMÉTRICA E ASSIMÉTRICA</t>
        </is>
      </c>
      <c r="C237" s="44" t="inlineStr">
        <is>
          <t>PÇ</t>
        </is>
      </c>
      <c r="D237" s="45" t="n">
        <v>7</v>
      </c>
      <c r="E237" s="45" t="n"/>
      <c r="F237" s="45" t="n"/>
      <c r="G237" s="45">
        <f t="array" ref="G237">SUM(D237:F237)</f>
        <v/>
      </c>
      <c r="H237" s="121">
        <f t="array" ref="H237">VLOOKUP(A237,#REF!,5,0)</f>
        <v/>
      </c>
      <c r="I237" s="122" t="n">
        <v>0</v>
      </c>
      <c r="J237" s="123" t="n">
        <v>0</v>
      </c>
      <c r="K237" s="124" t="n">
        <v>0</v>
      </c>
      <c r="L237" s="123" t="n">
        <v>0</v>
      </c>
      <c r="M237" s="124" t="n">
        <v>0</v>
      </c>
      <c r="N237" s="124" t="n">
        <v>0</v>
      </c>
      <c r="O237" s="124" t="n">
        <v>0</v>
      </c>
      <c r="P237" s="124" t="n">
        <v>0</v>
      </c>
      <c r="Q237" s="124" t="n">
        <v>0</v>
      </c>
      <c r="R237" s="124" t="n">
        <v>0</v>
      </c>
      <c r="S237" s="124" t="n">
        <v>0</v>
      </c>
      <c r="T237" s="124" t="n">
        <v>0</v>
      </c>
      <c r="U237" s="124" t="n"/>
      <c r="V237" s="124" t="n"/>
      <c r="W237" s="125">
        <f t="array" ref="W237">SUM(I237:V237)</f>
        <v/>
      </c>
      <c r="X237" s="126" t="n">
        <v>0</v>
      </c>
      <c r="Y237" s="125">
        <f t="array" ref="Y237">W237+X237</f>
        <v/>
      </c>
      <c r="Z237" s="125">
        <f t="array" ref="Z237">G237-Y237</f>
        <v/>
      </c>
      <c r="AA237" s="121">
        <f t="array" ref="AA237">ROUND(W237*H237,2)</f>
        <v/>
      </c>
      <c r="AB237" s="127">
        <f t="array" ref="AB237">ROUND(X237*H237,2)</f>
        <v/>
      </c>
      <c r="AC237" s="121">
        <f t="array" ref="AC237">ROUND(AA237+AB237,2)</f>
        <v/>
      </c>
      <c r="AD237" s="127">
        <f t="array" ref="AD237">ROUND((G237*H237)-AC237,2)</f>
        <v/>
      </c>
      <c r="AE237" s="54">
        <f t="array" ref="AE237">_xlfn.IFERROR(ROUND(AC237/(G237*H237),2),0)</f>
        <v/>
      </c>
      <c r="AF237" s="7" t="n"/>
      <c r="AG237" s="7" t="n"/>
      <c r="AH237" s="7" t="n"/>
      <c r="AI237" s="7" t="n"/>
      <c r="AJ237" s="7" t="n"/>
      <c r="AK237" s="7" t="n"/>
      <c r="AL237" s="7" t="n"/>
    </row>
    <row r="238" ht="409.6" customHeight="1" s="104">
      <c r="A238" s="68" t="n">
        <v>3135</v>
      </c>
      <c r="B238" s="44" t="inlineStr">
        <is>
          <t>LUMINÁRIA DECORATIVA DE LED PARA ILUMINAÇÃO DE ESPAÇOS PÚBLICOS, GRAU DE PROTEÇÃO DO CONJUNTO ÓPTICO E ALOJAMENTO DOS EQUIPAMENTOS AUXILIARES IP65 OU MAIOR, RESISTÊNCIA A CHOQUE IK 08 OU MAIOR, FIXAÇÃO EM TOPO DE POSTE DE 60,3MM, CONTROLADOR PARA TELEGESTÃO,  TEMPERATURA DE OPERAÇÃO ENTRE - 30ºC A 50ºC, IRC IGUAL OU MAIOR QUE 70, 220V, 60HZ, POTÊNCIA MÁXIMA DE 120W, FLUXO LUMINOSO MÍNIMO DE 12.000LM, COM OPÇÕES DE DISTRIBUIÇÃO FOTOMÉTRICA SIMÉTRICA E ASSIMÉTRICA</t>
        </is>
      </c>
      <c r="C238" s="44" t="inlineStr">
        <is>
          <t>PÇ</t>
        </is>
      </c>
      <c r="D238" s="45" t="n">
        <v>7</v>
      </c>
      <c r="E238" s="45" t="n"/>
      <c r="F238" s="45" t="n"/>
      <c r="G238" s="45">
        <f t="array" ref="G238">SUM(D238:F238)</f>
        <v/>
      </c>
      <c r="H238" s="121">
        <f t="array" ref="H238">VLOOKUP(A238,#REF!,5,0)</f>
        <v/>
      </c>
      <c r="I238" s="122" t="n">
        <v>0</v>
      </c>
      <c r="J238" s="123" t="n">
        <v>0</v>
      </c>
      <c r="K238" s="124" t="n">
        <v>0</v>
      </c>
      <c r="L238" s="123" t="n">
        <v>0</v>
      </c>
      <c r="M238" s="124" t="n">
        <v>0</v>
      </c>
      <c r="N238" s="124" t="n">
        <v>0</v>
      </c>
      <c r="O238" s="124" t="n">
        <v>0</v>
      </c>
      <c r="P238" s="124" t="n">
        <v>0</v>
      </c>
      <c r="Q238" s="124" t="n">
        <v>0</v>
      </c>
      <c r="R238" s="124" t="n">
        <v>0</v>
      </c>
      <c r="S238" s="124" t="n">
        <v>0</v>
      </c>
      <c r="T238" s="124" t="n">
        <v>0</v>
      </c>
      <c r="U238" s="124" t="n"/>
      <c r="V238" s="124" t="n"/>
      <c r="W238" s="125">
        <f t="array" ref="W238">SUM(I238:V238)</f>
        <v/>
      </c>
      <c r="X238" s="126" t="n">
        <v>0</v>
      </c>
      <c r="Y238" s="125">
        <f t="array" ref="Y238">W238+X238</f>
        <v/>
      </c>
      <c r="Z238" s="125">
        <f t="array" ref="Z238">G238-Y238</f>
        <v/>
      </c>
      <c r="AA238" s="121">
        <f t="array" ref="AA238">ROUND(W238*H238,2)</f>
        <v/>
      </c>
      <c r="AB238" s="127">
        <f t="array" ref="AB238">ROUND(X238*H238,2)</f>
        <v/>
      </c>
      <c r="AC238" s="121">
        <f t="array" ref="AC238">ROUND(AA238+AB238,2)</f>
        <v/>
      </c>
      <c r="AD238" s="127">
        <f t="array" ref="AD238">ROUND((G238*H238)-AC238,2)</f>
        <v/>
      </c>
      <c r="AE238" s="54">
        <f t="array" ref="AE238">_xlfn.IFERROR(ROUND(AC238/(G238*H238),2),0)</f>
        <v/>
      </c>
      <c r="AF238" s="7" t="n"/>
      <c r="AG238" s="7" t="n"/>
      <c r="AH238" s="7" t="n"/>
      <c r="AI238" s="7" t="n"/>
      <c r="AJ238" s="7" t="n"/>
      <c r="AK238" s="7" t="n"/>
      <c r="AL238" s="7" t="n"/>
    </row>
    <row r="239" ht="266.4" customHeight="1" s="104">
      <c r="A239" s="68" t="n">
        <v>3136</v>
      </c>
      <c r="B239" s="44" t="inlineStr">
        <is>
          <t>NÚCLEO DE AÇO GALVANIZADO À FOGO, PINTADO EM POLIÉSTER NA COR DO POSTE OU OUTRA QUE VIER A SER ESPECIFICADA, PARA 2 LUMINÁRIAS TIPO PÉTALA, FIXAÇÃO EM POSTES COM DIÂMETRO DE TOPO 114MM</t>
        </is>
      </c>
      <c r="C239" s="44" t="inlineStr">
        <is>
          <t>PÇ</t>
        </is>
      </c>
      <c r="D239" s="45" t="n">
        <v>25</v>
      </c>
      <c r="E239" s="45" t="n"/>
      <c r="F239" s="45" t="n"/>
      <c r="G239" s="45">
        <f t="array" ref="G239">SUM(D239:F239)</f>
        <v/>
      </c>
      <c r="H239" s="121">
        <f t="array" ref="H239">VLOOKUP(A239,#REF!,5,0)</f>
        <v/>
      </c>
      <c r="I239" s="122" t="n">
        <v>0</v>
      </c>
      <c r="J239" s="123" t="n">
        <v>0</v>
      </c>
      <c r="K239" s="124" t="n">
        <v>0</v>
      </c>
      <c r="L239" s="123" t="n">
        <v>0</v>
      </c>
      <c r="M239" s="124" t="n">
        <v>0</v>
      </c>
      <c r="N239" s="124" t="n">
        <v>0</v>
      </c>
      <c r="O239" s="124" t="n">
        <v>0</v>
      </c>
      <c r="P239" s="124" t="n">
        <v>0</v>
      </c>
      <c r="Q239" s="124" t="n">
        <v>0</v>
      </c>
      <c r="R239" s="124" t="n">
        <v>0</v>
      </c>
      <c r="S239" s="124" t="n">
        <v>0</v>
      </c>
      <c r="T239" s="124" t="n">
        <v>0</v>
      </c>
      <c r="U239" s="124" t="n"/>
      <c r="V239" s="124" t="n"/>
      <c r="W239" s="125">
        <f t="array" ref="W239">SUM(I239:V239)</f>
        <v/>
      </c>
      <c r="X239" s="126" t="n">
        <v>0</v>
      </c>
      <c r="Y239" s="125">
        <f t="array" ref="Y239">W239+X239</f>
        <v/>
      </c>
      <c r="Z239" s="125">
        <f t="array" ref="Z239">G239-Y239</f>
        <v/>
      </c>
      <c r="AA239" s="121">
        <f t="array" ref="AA239">ROUND(W239*H239,2)</f>
        <v/>
      </c>
      <c r="AB239" s="127">
        <f t="array" ref="AB239">ROUND(X239*H239,2)</f>
        <v/>
      </c>
      <c r="AC239" s="121">
        <f t="array" ref="AC239">ROUND(AA239+AB239,2)</f>
        <v/>
      </c>
      <c r="AD239" s="127">
        <f t="array" ref="AD239">ROUND((G239*H239)-AC239,2)</f>
        <v/>
      </c>
      <c r="AE239" s="54">
        <f t="array" ref="AE239">_xlfn.IFERROR(ROUND(AC239/(G239*H239),2),0)</f>
        <v/>
      </c>
      <c r="AF239" s="7" t="n"/>
      <c r="AG239" s="7" t="n"/>
      <c r="AH239" s="7" t="n"/>
      <c r="AI239" s="7" t="n"/>
      <c r="AJ239" s="7" t="n"/>
      <c r="AK239" s="7" t="n"/>
      <c r="AL239" s="7" t="n"/>
    </row>
    <row r="240" ht="266.4" customHeight="1" s="104">
      <c r="A240" s="68" t="n">
        <v>3137</v>
      </c>
      <c r="B240" s="44" t="inlineStr">
        <is>
          <t>NÚCLEO DE AÇO GALVANIZADO À FOGO, PINTADO EM POLIÉSTER NA COR DO POSTE OU OUTRA QUE VIER A SER ESPECIFICADA, PARA 3 LUMINÁRIAS TIPO PÉTALA, FIXAÇÃO EM POSTES COM DIÂMETRO DE TOPO 114MM</t>
        </is>
      </c>
      <c r="C240" s="44" t="inlineStr">
        <is>
          <t>PÇ</t>
        </is>
      </c>
      <c r="D240" s="45" t="n">
        <v>25</v>
      </c>
      <c r="E240" s="45" t="n"/>
      <c r="F240" s="45" t="n"/>
      <c r="G240" s="45">
        <f t="array" ref="G240">SUM(D240:F240)</f>
        <v/>
      </c>
      <c r="H240" s="121">
        <f t="array" ref="H240">VLOOKUP(A240,#REF!,5,0)</f>
        <v/>
      </c>
      <c r="I240" s="122" t="n">
        <v>0</v>
      </c>
      <c r="J240" s="123" t="n">
        <v>0</v>
      </c>
      <c r="K240" s="124" t="n">
        <v>0</v>
      </c>
      <c r="L240" s="123" t="n">
        <v>1</v>
      </c>
      <c r="M240" s="124" t="n">
        <v>1</v>
      </c>
      <c r="N240" s="124" t="n">
        <v>4</v>
      </c>
      <c r="O240" s="124" t="n">
        <v>1</v>
      </c>
      <c r="P240" s="124" t="n">
        <v>0</v>
      </c>
      <c r="Q240" s="124" t="n">
        <v>0</v>
      </c>
      <c r="R240" s="124" t="n">
        <v>1</v>
      </c>
      <c r="S240" s="124" t="n">
        <v>0</v>
      </c>
      <c r="T240" s="124" t="n">
        <v>0</v>
      </c>
      <c r="U240" s="124" t="n"/>
      <c r="V240" s="124" t="n"/>
      <c r="W240" s="125">
        <f t="array" ref="W240">SUM(I240:V240)</f>
        <v/>
      </c>
      <c r="X240" s="126" t="n">
        <v>0</v>
      </c>
      <c r="Y240" s="125">
        <f t="array" ref="Y240">W240+X240</f>
        <v/>
      </c>
      <c r="Z240" s="125">
        <f t="array" ref="Z240">G240-Y240</f>
        <v/>
      </c>
      <c r="AA240" s="121">
        <f t="array" ref="AA240">ROUND(W240*H240,2)</f>
        <v/>
      </c>
      <c r="AB240" s="127">
        <f t="array" ref="AB240">ROUND(X240*H240,2)</f>
        <v/>
      </c>
      <c r="AC240" s="121">
        <f t="array" ref="AC240">ROUND(AA240+AB240,2)</f>
        <v/>
      </c>
      <c r="AD240" s="127">
        <f t="array" ref="AD240">ROUND((G240*H240)-AC240,2)</f>
        <v/>
      </c>
      <c r="AE240" s="54">
        <f t="array" ref="AE240">_xlfn.IFERROR(ROUND(AC240/(G240*H240),2),0)</f>
        <v/>
      </c>
      <c r="AF240" s="7" t="n"/>
      <c r="AG240" s="7" t="n"/>
      <c r="AH240" s="7" t="n"/>
      <c r="AI240" s="7" t="n"/>
      <c r="AJ240" s="7" t="n"/>
      <c r="AK240" s="7" t="n"/>
      <c r="AL240" s="7" t="n"/>
    </row>
    <row r="241" ht="266.4" customHeight="1" s="104">
      <c r="A241" s="68" t="n">
        <v>3138</v>
      </c>
      <c r="B241" s="44" t="inlineStr">
        <is>
          <t>NÚCLEO DE AÇO GALVANIZADO, PINTADO NA COR DO POSTE, PARA FIXAÇÃO DE DUAS LUMINÁRIAS EM TOPO DE POSTE DE DIÂMETRO DE 60MM, PONTA PARA ENCAIXE DA LUMINÁRIA Ø 60 MM</t>
        </is>
      </c>
      <c r="C241" s="44" t="inlineStr">
        <is>
          <t>PÇ</t>
        </is>
      </c>
      <c r="D241" s="45" t="n">
        <v>25</v>
      </c>
      <c r="E241" s="45" t="n"/>
      <c r="F241" s="45" t="n"/>
      <c r="G241" s="45">
        <f t="array" ref="G241">SUM(D241:F241)</f>
        <v/>
      </c>
      <c r="H241" s="121">
        <f t="array" ref="H241">VLOOKUP(A241,#REF!,5,0)</f>
        <v/>
      </c>
      <c r="I241" s="122" t="n">
        <v>0</v>
      </c>
      <c r="J241" s="123" t="n">
        <v>0</v>
      </c>
      <c r="K241" s="124" t="n">
        <v>0</v>
      </c>
      <c r="L241" s="123" t="n">
        <v>0</v>
      </c>
      <c r="M241" s="124" t="n">
        <v>0</v>
      </c>
      <c r="N241" s="124" t="n">
        <v>0</v>
      </c>
      <c r="O241" s="124" t="n">
        <v>0</v>
      </c>
      <c r="P241" s="124" t="n">
        <v>0</v>
      </c>
      <c r="Q241" s="124" t="n">
        <v>0</v>
      </c>
      <c r="R241" s="124" t="n">
        <v>0</v>
      </c>
      <c r="S241" s="124" t="n">
        <v>0</v>
      </c>
      <c r="T241" s="124" t="n">
        <v>0</v>
      </c>
      <c r="U241" s="124" t="n"/>
      <c r="V241" s="124" t="n"/>
      <c r="W241" s="125">
        <f t="array" ref="W241">SUM(I241:V241)</f>
        <v/>
      </c>
      <c r="X241" s="126" t="n">
        <v>0</v>
      </c>
      <c r="Y241" s="125">
        <f t="array" ref="Y241">W241+X241</f>
        <v/>
      </c>
      <c r="Z241" s="125">
        <f t="array" ref="Z241">G241-Y241</f>
        <v/>
      </c>
      <c r="AA241" s="121">
        <f t="array" ref="AA241">ROUND(W241*H241,2)</f>
        <v/>
      </c>
      <c r="AB241" s="127">
        <f t="array" ref="AB241">ROUND(X241*H241,2)</f>
        <v/>
      </c>
      <c r="AC241" s="121">
        <f t="array" ref="AC241">ROUND(AA241+AB241,2)</f>
        <v/>
      </c>
      <c r="AD241" s="127">
        <f t="array" ref="AD241">ROUND((G241*H241)-AC241,2)</f>
        <v/>
      </c>
      <c r="AE241" s="54">
        <f t="array" ref="AE241">_xlfn.IFERROR(ROUND(AC241/(G241*H241),2),0)</f>
        <v/>
      </c>
      <c r="AF241" s="7" t="n"/>
      <c r="AG241" s="7" t="n"/>
      <c r="AH241" s="7" t="n"/>
      <c r="AI241" s="7" t="n"/>
      <c r="AJ241" s="7" t="n"/>
      <c r="AK241" s="7" t="n"/>
      <c r="AL241" s="7" t="n"/>
    </row>
    <row r="242" ht="266.4" customHeight="1" s="104">
      <c r="A242" s="68" t="n">
        <v>3139</v>
      </c>
      <c r="B242" s="44" t="inlineStr">
        <is>
          <t>NÚCLEO DE AÇO GALVANIZADO, PINTADO NA COR DO POSTE, PARA FIXAÇÃO DE QUATRO LUMINÁRIAS EM TOPO DE POSTE DE DIÂMETRO DE 60MM, PONTA PARA ENCAIXE DA LUMINÁRIA Ø 60 MM</t>
        </is>
      </c>
      <c r="C242" s="44" t="inlineStr">
        <is>
          <t>PÇ</t>
        </is>
      </c>
      <c r="D242" s="45" t="n">
        <v>25</v>
      </c>
      <c r="E242" s="45" t="n"/>
      <c r="F242" s="45" t="n"/>
      <c r="G242" s="45">
        <f t="array" ref="G242">SUM(D242:F242)</f>
        <v/>
      </c>
      <c r="H242" s="121">
        <f t="array" ref="H242">VLOOKUP(A242,#REF!,5,0)</f>
        <v/>
      </c>
      <c r="I242" s="122" t="n">
        <v>0</v>
      </c>
      <c r="J242" s="123" t="n">
        <v>1</v>
      </c>
      <c r="K242" s="124" t="n">
        <v>0</v>
      </c>
      <c r="L242" s="123" t="n">
        <v>0</v>
      </c>
      <c r="M242" s="124" t="n">
        <v>0</v>
      </c>
      <c r="N242" s="124" t="n">
        <v>0</v>
      </c>
      <c r="O242" s="124" t="n">
        <v>0</v>
      </c>
      <c r="P242" s="124" t="n">
        <v>0</v>
      </c>
      <c r="Q242" s="124" t="n">
        <v>0</v>
      </c>
      <c r="R242" s="124" t="n">
        <v>0</v>
      </c>
      <c r="S242" s="124" t="n">
        <v>0</v>
      </c>
      <c r="T242" s="124" t="n">
        <v>0</v>
      </c>
      <c r="U242" s="124" t="n"/>
      <c r="V242" s="124" t="n"/>
      <c r="W242" s="125">
        <f t="array" ref="W242">SUM(I242:V242)</f>
        <v/>
      </c>
      <c r="X242" s="126" t="n">
        <v>0</v>
      </c>
      <c r="Y242" s="125">
        <f t="array" ref="Y242">W242+X242</f>
        <v/>
      </c>
      <c r="Z242" s="125">
        <f t="array" ref="Z242">G242-Y242</f>
        <v/>
      </c>
      <c r="AA242" s="121">
        <f t="array" ref="AA242">ROUND(W242*H242,2)</f>
        <v/>
      </c>
      <c r="AB242" s="127">
        <f t="array" ref="AB242">ROUND(X242*H242,2)</f>
        <v/>
      </c>
      <c r="AC242" s="121">
        <f t="array" ref="AC242">ROUND(AA242+AB242,2)</f>
        <v/>
      </c>
      <c r="AD242" s="127">
        <f t="array" ref="AD242">ROUND((G242*H242)-AC242,2)</f>
        <v/>
      </c>
      <c r="AE242" s="54">
        <f t="array" ref="AE242">_xlfn.IFERROR(ROUND(AC242/(G242*H242),2),0)</f>
        <v/>
      </c>
      <c r="AF242" s="7" t="n"/>
      <c r="AG242" s="7" t="n"/>
      <c r="AH242" s="7" t="n"/>
      <c r="AI242" s="7" t="n"/>
      <c r="AJ242" s="7" t="n"/>
      <c r="AK242" s="7" t="n"/>
      <c r="AL242" s="7" t="n"/>
    </row>
    <row r="243" ht="266.4" customHeight="1" s="104">
      <c r="A243" s="68" t="n">
        <v>3140</v>
      </c>
      <c r="B243" s="44" t="inlineStr">
        <is>
          <t>NÚCLEO DE AÇO GALVANIZADO, PINTADO NA COR DO POSTE, PARA FIXAÇÃO DE UMA LUMINÁRIA EM TOPO DE POSTE DE DIÂMETRO DE 60MM, PONTA PARA ENCAIXE DA LUMINÁRIA Ø 60 MM</t>
        </is>
      </c>
      <c r="C243" s="44" t="inlineStr">
        <is>
          <t>PÇ</t>
        </is>
      </c>
      <c r="D243" s="45" t="n">
        <v>25</v>
      </c>
      <c r="E243" s="45" t="n"/>
      <c r="F243" s="45" t="n"/>
      <c r="G243" s="45">
        <f t="array" ref="G243">SUM(D243:F243)</f>
        <v/>
      </c>
      <c r="H243" s="121">
        <f t="array" ref="H243">VLOOKUP(A243,#REF!,5,0)</f>
        <v/>
      </c>
      <c r="I243" s="122" t="n">
        <v>0</v>
      </c>
      <c r="J243" s="123" t="n">
        <v>1</v>
      </c>
      <c r="K243" s="124" t="n">
        <v>14</v>
      </c>
      <c r="L243" s="123" t="n">
        <v>0</v>
      </c>
      <c r="M243" s="124" t="n">
        <v>3</v>
      </c>
      <c r="N243" s="124" t="n">
        <v>0</v>
      </c>
      <c r="O243" s="124" t="n">
        <v>0</v>
      </c>
      <c r="P243" s="124" t="n">
        <v>0</v>
      </c>
      <c r="Q243" s="124" t="n">
        <v>0</v>
      </c>
      <c r="R243" s="124" t="n">
        <v>0</v>
      </c>
      <c r="S243" s="124" t="n">
        <v>0</v>
      </c>
      <c r="T243" s="124" t="n">
        <v>7</v>
      </c>
      <c r="U243" s="124" t="n"/>
      <c r="V243" s="124" t="n"/>
      <c r="W243" s="125">
        <f t="array" ref="W243">SUM(I243:V243)</f>
        <v/>
      </c>
      <c r="X243" s="126" t="n">
        <v>0</v>
      </c>
      <c r="Y243" s="125">
        <f t="array" ref="Y243">W243+X243</f>
        <v/>
      </c>
      <c r="Z243" s="125">
        <f t="array" ref="Z243">G243-Y243</f>
        <v/>
      </c>
      <c r="AA243" s="121">
        <f t="array" ref="AA243">ROUND(W243*H243,2)</f>
        <v/>
      </c>
      <c r="AB243" s="127">
        <f t="array" ref="AB243">ROUND(X243*H243,2)</f>
        <v/>
      </c>
      <c r="AC243" s="121">
        <f t="array" ref="AC243">ROUND(AA243+AB243,2)</f>
        <v/>
      </c>
      <c r="AD243" s="127">
        <f t="array" ref="AD243">ROUND((G243*H243)-AC243,2)</f>
        <v/>
      </c>
      <c r="AE243" s="54">
        <f t="array" ref="AE243">_xlfn.IFERROR(ROUND(AC243/(G243*H243),2),0)</f>
        <v/>
      </c>
      <c r="AF243" s="7" t="n"/>
      <c r="AG243" s="7" t="n"/>
      <c r="AH243" s="7" t="n"/>
      <c r="AI243" s="7" t="n"/>
      <c r="AJ243" s="7" t="n"/>
      <c r="AK243" s="7" t="n"/>
      <c r="AL243" s="7" t="n"/>
    </row>
    <row r="244" ht="66.59999999999999" customHeight="1" s="104">
      <c r="A244" s="68" t="n">
        <v>3141</v>
      </c>
      <c r="B244" s="44" t="inlineStr">
        <is>
          <t>PARAFUSO DE CABEÇA QUADRADA D12X200MM</t>
        </is>
      </c>
      <c r="C244" s="44" t="inlineStr">
        <is>
          <t>PÇ</t>
        </is>
      </c>
      <c r="D244" s="45" t="n">
        <v>150</v>
      </c>
      <c r="E244" s="45" t="n"/>
      <c r="F244" s="45" t="n"/>
      <c r="G244" s="45">
        <f t="array" ref="G244">SUM(D244:F244)</f>
        <v/>
      </c>
      <c r="H244" s="121">
        <f t="array" ref="H244">VLOOKUP(A244,#REF!,5,0)</f>
        <v/>
      </c>
      <c r="I244" s="122" t="n">
        <v>0</v>
      </c>
      <c r="J244" s="123" t="n">
        <v>0</v>
      </c>
      <c r="K244" s="124" t="n">
        <v>0</v>
      </c>
      <c r="L244" s="123" t="n">
        <v>0</v>
      </c>
      <c r="M244" s="124" t="n">
        <v>0</v>
      </c>
      <c r="N244" s="124" t="n">
        <v>0</v>
      </c>
      <c r="O244" s="124" t="n">
        <v>0</v>
      </c>
      <c r="P244" s="124" t="n">
        <v>0</v>
      </c>
      <c r="Q244" s="124" t="n">
        <v>0</v>
      </c>
      <c r="R244" s="124" t="n">
        <v>117</v>
      </c>
      <c r="S244" s="124" t="n">
        <v>19</v>
      </c>
      <c r="T244" s="124" t="n">
        <v>0</v>
      </c>
      <c r="U244" s="124" t="n"/>
      <c r="V244" s="124" t="n"/>
      <c r="W244" s="125">
        <f t="array" ref="W244">SUM(I244:V244)</f>
        <v/>
      </c>
      <c r="X244" s="126" t="n">
        <v>0</v>
      </c>
      <c r="Y244" s="125">
        <f t="array" ref="Y244">W244+X244</f>
        <v/>
      </c>
      <c r="Z244" s="125">
        <f t="array" ref="Z244">G244-Y244</f>
        <v/>
      </c>
      <c r="AA244" s="121">
        <f t="array" ref="AA244">ROUND(W244*H244,2)</f>
        <v/>
      </c>
      <c r="AB244" s="127">
        <f t="array" ref="AB244">ROUND(X244*H244,2)</f>
        <v/>
      </c>
      <c r="AC244" s="121">
        <f t="array" ref="AC244">ROUND(AA244+AB244,2)</f>
        <v/>
      </c>
      <c r="AD244" s="127">
        <f t="array" ref="AD244">ROUND((G244*H244)-AC244,2)</f>
        <v/>
      </c>
      <c r="AE244" s="54">
        <f t="array" ref="AE244">_xlfn.IFERROR(ROUND(AC244/(G244*H244),2),0)</f>
        <v/>
      </c>
      <c r="AF244" s="7" t="n"/>
      <c r="AG244" s="7" t="n"/>
      <c r="AH244" s="7" t="n"/>
      <c r="AI244" s="7" t="n"/>
      <c r="AJ244" s="7" t="n"/>
      <c r="AK244" s="7" t="n"/>
      <c r="AL244" s="7" t="n"/>
    </row>
    <row r="245" ht="66.59999999999999" customHeight="1" s="104">
      <c r="A245" s="68" t="n">
        <v>3142</v>
      </c>
      <c r="B245" s="44" t="inlineStr">
        <is>
          <t>PARAFUSO DE CABEÇA QUADRADA D12X250MM</t>
        </is>
      </c>
      <c r="C245" s="44" t="inlineStr">
        <is>
          <t>PÇ</t>
        </is>
      </c>
      <c r="D245" s="45" t="n">
        <v>150</v>
      </c>
      <c r="E245" s="45" t="n"/>
      <c r="F245" s="45" t="n"/>
      <c r="G245" s="45">
        <f t="array" ref="G245">SUM(D245:F245)</f>
        <v/>
      </c>
      <c r="H245" s="121">
        <f t="array" ref="H245">VLOOKUP(A245,#REF!,5,0)</f>
        <v/>
      </c>
      <c r="I245" s="122" t="n">
        <v>57</v>
      </c>
      <c r="J245" s="123" t="n">
        <v>93</v>
      </c>
      <c r="K245" s="124" t="n">
        <v>0</v>
      </c>
      <c r="L245" s="123" t="n">
        <v>0</v>
      </c>
      <c r="M245" s="124" t="n">
        <v>0</v>
      </c>
      <c r="N245" s="124" t="n">
        <v>0</v>
      </c>
      <c r="O245" s="124" t="n">
        <v>0</v>
      </c>
      <c r="P245" s="124" t="n">
        <v>0</v>
      </c>
      <c r="Q245" s="124" t="n">
        <v>0</v>
      </c>
      <c r="R245" s="124" t="n">
        <v>0</v>
      </c>
      <c r="S245" s="124" t="n">
        <v>0</v>
      </c>
      <c r="T245" s="124" t="n">
        <v>0</v>
      </c>
      <c r="U245" s="124" t="n"/>
      <c r="V245" s="124" t="n"/>
      <c r="W245" s="125">
        <f t="array" ref="W245">SUM(I245:V245)</f>
        <v/>
      </c>
      <c r="X245" s="126" t="n">
        <v>0</v>
      </c>
      <c r="Y245" s="125">
        <f t="array" ref="Y245">W245+X245</f>
        <v/>
      </c>
      <c r="Z245" s="125">
        <f t="array" ref="Z245">G245-Y245</f>
        <v/>
      </c>
      <c r="AA245" s="121">
        <f t="array" ref="AA245">ROUND(W245*H245,2)</f>
        <v/>
      </c>
      <c r="AB245" s="127">
        <f t="array" ref="AB245">ROUND(X245*H245,2)</f>
        <v/>
      </c>
      <c r="AC245" s="121">
        <f t="array" ref="AC245">ROUND(AA245+AB245,2)</f>
        <v/>
      </c>
      <c r="AD245" s="127">
        <f t="array" ref="AD245">ROUND((G245*H245)-AC245,2)</f>
        <v/>
      </c>
      <c r="AE245" s="54">
        <f t="array" ref="AE245">_xlfn.IFERROR(ROUND(AC245/(G245*H245),2),0)</f>
        <v/>
      </c>
      <c r="AF245" s="7" t="n"/>
      <c r="AG245" s="7" t="n"/>
      <c r="AH245" s="7" t="n"/>
      <c r="AI245" s="7" t="n"/>
      <c r="AJ245" s="7" t="n"/>
      <c r="AK245" s="7" t="n"/>
      <c r="AL245" s="7" t="n"/>
    </row>
    <row r="246" ht="66.59999999999999" customHeight="1" s="104">
      <c r="A246" s="68" t="n">
        <v>3143</v>
      </c>
      <c r="B246" s="44" t="inlineStr">
        <is>
          <t>PARAFUSO DE CABEÇA QUADRADA D12X300MM</t>
        </is>
      </c>
      <c r="C246" s="44" t="inlineStr">
        <is>
          <t>PÇ</t>
        </is>
      </c>
      <c r="D246" s="45" t="n">
        <v>3712</v>
      </c>
      <c r="E246" s="45" t="n"/>
      <c r="F246" s="45" t="n"/>
      <c r="G246" s="45">
        <f t="array" ref="G246">SUM(D246:F246)</f>
        <v/>
      </c>
      <c r="H246" s="121">
        <f t="array" ref="H246">VLOOKUP(A246,#REF!,5,0)</f>
        <v/>
      </c>
      <c r="I246" s="122" t="n">
        <v>0</v>
      </c>
      <c r="J246" s="123" t="n">
        <v>146</v>
      </c>
      <c r="K246" s="124" t="n">
        <v>113</v>
      </c>
      <c r="L246" s="123" t="n">
        <v>108</v>
      </c>
      <c r="M246" s="124" t="n">
        <v>133</v>
      </c>
      <c r="N246" s="124" t="n">
        <v>142</v>
      </c>
      <c r="O246" s="124" t="n">
        <v>68</v>
      </c>
      <c r="P246" s="124" t="n">
        <v>85</v>
      </c>
      <c r="Q246" s="124" t="n">
        <v>239</v>
      </c>
      <c r="R246" s="124" t="n">
        <v>335</v>
      </c>
      <c r="S246" s="124" t="n">
        <v>196</v>
      </c>
      <c r="T246" s="124" t="n">
        <v>84</v>
      </c>
      <c r="U246" s="124" t="n"/>
      <c r="V246" s="124" t="n"/>
      <c r="W246" s="125">
        <f t="array" ref="W246">SUM(I246:V246)</f>
        <v/>
      </c>
      <c r="X246" s="126" t="n">
        <v>8</v>
      </c>
      <c r="Y246" s="125">
        <f t="array" ref="Y246">W246+X246</f>
        <v/>
      </c>
      <c r="Z246" s="125">
        <f t="array" ref="Z246">G246-Y246</f>
        <v/>
      </c>
      <c r="AA246" s="121">
        <f t="array" ref="AA246">ROUND(W246*H246,2)</f>
        <v/>
      </c>
      <c r="AB246" s="127">
        <f t="array" ref="AB246">ROUND(X246*H246,2)</f>
        <v/>
      </c>
      <c r="AC246" s="121">
        <f t="array" ref="AC246">ROUND(AA246+AB246,2)</f>
        <v/>
      </c>
      <c r="AD246" s="127">
        <f t="array" ref="AD246">ROUND((G246*H246)-AC246,2)</f>
        <v/>
      </c>
      <c r="AE246" s="54">
        <f t="array" ref="AE246">_xlfn.IFERROR(ROUND(AC246/(G246*H246),2),0)</f>
        <v/>
      </c>
      <c r="AF246" s="7" t="n"/>
      <c r="AG246" s="7" t="n"/>
      <c r="AH246" s="7" t="n"/>
      <c r="AI246" s="7" t="n"/>
      <c r="AJ246" s="7" t="n"/>
      <c r="AK246" s="7" t="n"/>
      <c r="AL246" s="7" t="n"/>
    </row>
    <row r="247" ht="66.59999999999999" customHeight="1" s="104">
      <c r="A247" s="68" t="n">
        <v>3144</v>
      </c>
      <c r="B247" s="44" t="inlineStr">
        <is>
          <t>PARAFUSO DE CABEÇA QUADRADA D16X300MM</t>
        </is>
      </c>
      <c r="C247" s="44" t="inlineStr">
        <is>
          <t>PÇ</t>
        </is>
      </c>
      <c r="D247" s="45" t="n">
        <v>150</v>
      </c>
      <c r="E247" s="45" t="n"/>
      <c r="F247" s="45" t="n"/>
      <c r="G247" s="45">
        <f t="array" ref="G247">SUM(D247:F247)</f>
        <v/>
      </c>
      <c r="H247" s="121">
        <f t="array" ref="H247">VLOOKUP(A247,#REF!,5,0)</f>
        <v/>
      </c>
      <c r="I247" s="122" t="n">
        <v>0</v>
      </c>
      <c r="J247" s="123" t="n">
        <v>0</v>
      </c>
      <c r="K247" s="124" t="n">
        <v>0</v>
      </c>
      <c r="L247" s="123" t="n">
        <v>0</v>
      </c>
      <c r="M247" s="124" t="n">
        <v>0</v>
      </c>
      <c r="N247" s="124" t="n">
        <v>0</v>
      </c>
      <c r="O247" s="124" t="n">
        <v>0</v>
      </c>
      <c r="P247" s="124" t="n">
        <v>0</v>
      </c>
      <c r="Q247" s="124" t="n">
        <v>0</v>
      </c>
      <c r="R247" s="124" t="n">
        <v>0</v>
      </c>
      <c r="S247" s="124" t="n">
        <v>0</v>
      </c>
      <c r="T247" s="124" t="n">
        <v>0</v>
      </c>
      <c r="U247" s="124" t="n"/>
      <c r="V247" s="124" t="n"/>
      <c r="W247" s="125">
        <f t="array" ref="W247">SUM(I247:V247)</f>
        <v/>
      </c>
      <c r="X247" s="126" t="n">
        <v>0</v>
      </c>
      <c r="Y247" s="125">
        <f t="array" ref="Y247">W247+X247</f>
        <v/>
      </c>
      <c r="Z247" s="125">
        <f t="array" ref="Z247">G247-Y247</f>
        <v/>
      </c>
      <c r="AA247" s="121">
        <f t="array" ref="AA247">ROUND(W247*H247,2)</f>
        <v/>
      </c>
      <c r="AB247" s="127">
        <f t="array" ref="AB247">ROUND(X247*H247,2)</f>
        <v/>
      </c>
      <c r="AC247" s="121">
        <f t="array" ref="AC247">ROUND(AA247+AB247,2)</f>
        <v/>
      </c>
      <c r="AD247" s="127">
        <f t="array" ref="AD247">ROUND((G247*H247)-AC247,2)</f>
        <v/>
      </c>
      <c r="AE247" s="54">
        <f t="array" ref="AE247">_xlfn.IFERROR(ROUND(AC247/(G247*H247),2),0)</f>
        <v/>
      </c>
      <c r="AF247" s="7" t="n"/>
      <c r="AG247" s="7" t="n"/>
      <c r="AH247" s="7" t="n"/>
      <c r="AI247" s="7" t="n"/>
      <c r="AJ247" s="7" t="n"/>
      <c r="AK247" s="7" t="n"/>
      <c r="AL247" s="7" t="n"/>
    </row>
    <row r="248" ht="266.4" customHeight="1" s="104">
      <c r="A248" s="68" t="n">
        <v>3145</v>
      </c>
      <c r="B248" s="44" t="inlineStr">
        <is>
          <t>PLAQUETA DE ALUMÍNIO, DIMENSÕES MÍNIMAS DE  120X30X0,8MM, LETRAS E/OU NÚMEROS COM TAMANHO DE 25 X 15 (ALTURA X LARGURA) GRAVADAS EM RELEVO COM RASGOS OU FUROS NAS LATERAIS PARA FIXAÇÃO</t>
        </is>
      </c>
      <c r="C248" s="44" t="inlineStr">
        <is>
          <t xml:space="preserve"> PÇ </t>
        </is>
      </c>
      <c r="D248" s="45" t="n">
        <v>1756</v>
      </c>
      <c r="E248" s="45" t="n"/>
      <c r="F248" s="45" t="n"/>
      <c r="G248" s="45">
        <f t="array" ref="G248">SUM(D248:F248)</f>
        <v/>
      </c>
      <c r="H248" s="121">
        <f t="array" ref="H248">VLOOKUP(A248,#REF!,5,0)</f>
        <v/>
      </c>
      <c r="I248" s="122" t="n">
        <v>0</v>
      </c>
      <c r="J248" s="123" t="n">
        <v>0</v>
      </c>
      <c r="K248" s="124" t="n">
        <v>0</v>
      </c>
      <c r="L248" s="123" t="n">
        <v>0</v>
      </c>
      <c r="M248" s="124" t="n">
        <v>0</v>
      </c>
      <c r="N248" s="124" t="n">
        <v>0</v>
      </c>
      <c r="O248" s="124" t="n">
        <v>0</v>
      </c>
      <c r="P248" s="124" t="n">
        <v>0</v>
      </c>
      <c r="Q248" s="124" t="n">
        <v>0</v>
      </c>
      <c r="R248" s="124" t="n">
        <v>0</v>
      </c>
      <c r="S248" s="124" t="n">
        <v>0</v>
      </c>
      <c r="T248" s="124" t="n">
        <v>0</v>
      </c>
      <c r="U248" s="124" t="n"/>
      <c r="V248" s="124" t="n"/>
      <c r="W248" s="125">
        <f t="array" ref="W248">SUM(I248:V248)</f>
        <v/>
      </c>
      <c r="X248" s="126" t="n">
        <v>0</v>
      </c>
      <c r="Y248" s="125">
        <f t="array" ref="Y248">W248+X248</f>
        <v/>
      </c>
      <c r="Z248" s="125">
        <f t="array" ref="Z248">G248-Y248</f>
        <v/>
      </c>
      <c r="AA248" s="121">
        <f t="array" ref="AA248">ROUND(W248*H248,2)</f>
        <v/>
      </c>
      <c r="AB248" s="127">
        <f t="array" ref="AB248">ROUND(X248*H248,2)</f>
        <v/>
      </c>
      <c r="AC248" s="121">
        <f t="array" ref="AC248">ROUND(AA248+AB248,2)</f>
        <v/>
      </c>
      <c r="AD248" s="127">
        <f t="array" ref="AD248">ROUND((G248*H248)-AC248,2)</f>
        <v/>
      </c>
      <c r="AE248" s="54">
        <f t="array" ref="AE248">_xlfn.IFERROR(ROUND(AC248/(G248*H248),2),0)</f>
        <v/>
      </c>
      <c r="AF248" s="7" t="n"/>
      <c r="AG248" s="7" t="n"/>
      <c r="AH248" s="7" t="n"/>
      <c r="AI248" s="7" t="n"/>
      <c r="AJ248" s="7" t="n"/>
      <c r="AK248" s="7" t="n"/>
      <c r="AL248" s="7" t="n"/>
    </row>
    <row r="249" ht="66.59999999999999" customHeight="1" s="104">
      <c r="A249" s="68" t="n">
        <v>3146</v>
      </c>
      <c r="B249" s="44" t="inlineStr">
        <is>
          <t>PORCA QUADRADA ROSCA M16, 24X24X13MM</t>
        </is>
      </c>
      <c r="C249" s="44" t="inlineStr">
        <is>
          <t>PÇ</t>
        </is>
      </c>
      <c r="D249" s="45" t="n">
        <v>1200</v>
      </c>
      <c r="E249" s="45" t="n"/>
      <c r="F249" s="45" t="n"/>
      <c r="G249" s="45">
        <f t="array" ref="G249">SUM(D249:F249)</f>
        <v/>
      </c>
      <c r="H249" s="121">
        <f t="array" ref="H249">VLOOKUP(A249,#REF!,5,0)</f>
        <v/>
      </c>
      <c r="I249" s="122" t="n">
        <v>0</v>
      </c>
      <c r="J249" s="123" t="n">
        <v>0</v>
      </c>
      <c r="K249" s="124" t="n">
        <v>112</v>
      </c>
      <c r="L249" s="123" t="n">
        <v>0</v>
      </c>
      <c r="M249" s="124" t="n">
        <v>0</v>
      </c>
      <c r="N249" s="124" t="n">
        <v>0</v>
      </c>
      <c r="O249" s="124" t="n">
        <v>0</v>
      </c>
      <c r="P249" s="124" t="n">
        <v>0</v>
      </c>
      <c r="Q249" s="124" t="n">
        <v>0</v>
      </c>
      <c r="R249" s="124" t="n">
        <v>0</v>
      </c>
      <c r="S249" s="124" t="n">
        <v>0</v>
      </c>
      <c r="T249" s="124" t="n">
        <v>0</v>
      </c>
      <c r="U249" s="124" t="n"/>
      <c r="V249" s="124" t="n"/>
      <c r="W249" s="125">
        <f t="array" ref="W249">SUM(I249:V249)</f>
        <v/>
      </c>
      <c r="X249" s="126" t="n">
        <v>0</v>
      </c>
      <c r="Y249" s="125">
        <f t="array" ref="Y249">W249+X249</f>
        <v/>
      </c>
      <c r="Z249" s="125">
        <f t="array" ref="Z249">G249-Y249</f>
        <v/>
      </c>
      <c r="AA249" s="121">
        <f t="array" ref="AA249">ROUND(W249*H249,2)</f>
        <v/>
      </c>
      <c r="AB249" s="127">
        <f t="array" ref="AB249">ROUND(X249*H249,2)</f>
        <v/>
      </c>
      <c r="AC249" s="121">
        <f t="array" ref="AC249">ROUND(AA249+AB249,2)</f>
        <v/>
      </c>
      <c r="AD249" s="127">
        <f t="array" ref="AD249">ROUND((G249*H249)-AC249,2)</f>
        <v/>
      </c>
      <c r="AE249" s="54">
        <f t="array" ref="AE249">_xlfn.IFERROR(ROUND(AC249/(G249*H249),2),0)</f>
        <v/>
      </c>
      <c r="AF249" s="7" t="n"/>
      <c r="AG249" s="7" t="n"/>
      <c r="AH249" s="7" t="n"/>
      <c r="AI249" s="7" t="n"/>
      <c r="AJ249" s="7" t="n"/>
      <c r="AK249" s="7" t="n"/>
      <c r="AL249" s="7" t="n"/>
    </row>
    <row r="250" ht="399.6" customHeight="1" s="104">
      <c r="A250" s="68" t="n">
        <v>3147</v>
      </c>
      <c r="B250" s="44" t="inlineStr">
        <is>
          <t>POSTE  RETO  EM AÇO GALVANIZADO À FOGO (ESPESSURA MÍN. CAMADA DE ZINCO 100 MICRONS),  CÔNICO CONTÍNUO, BASE ENGASTADA, RESISTENTE A VENTOS DE ATÉ 100KM/H, ALTURA LIVRE ACIMA DO SOLO 6 M, DIÂMETRO NO TOPO 60MM, COM JANELA DE INSPEÇÃO PARA FUSÍVEL TIPO D</t>
        </is>
      </c>
      <c r="C250" s="44" t="inlineStr">
        <is>
          <t>PÇ</t>
        </is>
      </c>
      <c r="D250" s="45" t="n">
        <v>50</v>
      </c>
      <c r="E250" s="45" t="n"/>
      <c r="F250" s="45" t="n"/>
      <c r="G250" s="45">
        <f t="array" ref="G250">SUM(D250:F250)</f>
        <v/>
      </c>
      <c r="H250" s="121">
        <f t="array" ref="H250">VLOOKUP(A250,#REF!,5,0)</f>
        <v/>
      </c>
      <c r="I250" s="122" t="n">
        <v>0</v>
      </c>
      <c r="J250" s="123" t="n">
        <v>0</v>
      </c>
      <c r="K250" s="124" t="n">
        <v>14</v>
      </c>
      <c r="L250" s="123" t="n">
        <v>0</v>
      </c>
      <c r="M250" s="124" t="n">
        <v>3</v>
      </c>
      <c r="N250" s="124" t="n">
        <v>0</v>
      </c>
      <c r="O250" s="124" t="n">
        <v>0</v>
      </c>
      <c r="P250" s="124" t="n">
        <v>0</v>
      </c>
      <c r="Q250" s="124" t="n">
        <v>0</v>
      </c>
      <c r="R250" s="124" t="n">
        <v>0</v>
      </c>
      <c r="S250" s="124" t="n">
        <v>0</v>
      </c>
      <c r="T250" s="124" t="n">
        <v>0</v>
      </c>
      <c r="U250" s="124" t="n"/>
      <c r="V250" s="124" t="n"/>
      <c r="W250" s="125">
        <f t="array" ref="W250">SUM(I250:V250)</f>
        <v/>
      </c>
      <c r="X250" s="126" t="n">
        <v>0</v>
      </c>
      <c r="Y250" s="125">
        <f t="array" ref="Y250">W250+X250</f>
        <v/>
      </c>
      <c r="Z250" s="125">
        <f t="array" ref="Z250">G250-Y250</f>
        <v/>
      </c>
      <c r="AA250" s="121">
        <f t="array" ref="AA250">ROUND(W250*H250,2)</f>
        <v/>
      </c>
      <c r="AB250" s="127">
        <f t="array" ref="AB250">ROUND(X250*H250,2)</f>
        <v/>
      </c>
      <c r="AC250" s="121">
        <f t="array" ref="AC250">ROUND(AA250+AB250,2)</f>
        <v/>
      </c>
      <c r="AD250" s="127">
        <f t="array" ref="AD250">ROUND((G250*H250)-AC250,2)</f>
        <v/>
      </c>
      <c r="AE250" s="54">
        <f t="array" ref="AE250">_xlfn.IFERROR(ROUND(AC250/(G250*H250),2),0)</f>
        <v/>
      </c>
      <c r="AF250" s="7" t="n"/>
      <c r="AG250" s="7" t="n"/>
      <c r="AH250" s="7" t="n"/>
      <c r="AI250" s="7" t="n"/>
      <c r="AJ250" s="7" t="n"/>
      <c r="AK250" s="7" t="n"/>
      <c r="AL250" s="7" t="n"/>
    </row>
    <row r="251" ht="399.6" customHeight="1" s="104">
      <c r="A251" s="68" t="n">
        <v>3148</v>
      </c>
      <c r="B251" s="44" t="inlineStr">
        <is>
          <t>POSTE  RETO  EM AÇO GALVANIZADO À FOGO (ESPESSURA MÍN. CAMADA DE ZINCO 100 MICRONS),  CÔNICO CONTÍNUO, BASE ENGASTADA, RESISTENTE A VENTOS DE ATÉ 150KM/H, ALTURA LIVRE ACIMA DO SOLO 10 M, DIÂMETRO NO TOPO 60MM, COM JANELA DE INSPEÇÃO PARA FUSÍVEL TIPO D</t>
        </is>
      </c>
      <c r="C251" s="44" t="inlineStr">
        <is>
          <t>PÇ</t>
        </is>
      </c>
      <c r="D251" s="45" t="n">
        <v>50</v>
      </c>
      <c r="E251" s="45" t="n">
        <v>10</v>
      </c>
      <c r="F251" s="45" t="n"/>
      <c r="G251" s="45">
        <f t="array" ref="G251">SUM(D251:F251)</f>
        <v/>
      </c>
      <c r="H251" s="121">
        <f t="array" ref="H251">VLOOKUP(A251,#REF!,5,0)</f>
        <v/>
      </c>
      <c r="I251" s="122" t="n">
        <v>0</v>
      </c>
      <c r="J251" s="123" t="n">
        <v>3</v>
      </c>
      <c r="K251" s="124" t="n">
        <v>0</v>
      </c>
      <c r="L251" s="123" t="n">
        <v>0</v>
      </c>
      <c r="M251" s="124" t="n">
        <v>0</v>
      </c>
      <c r="N251" s="124" t="n">
        <v>0</v>
      </c>
      <c r="O251" s="124" t="n">
        <v>0</v>
      </c>
      <c r="P251" s="124" t="n">
        <v>0</v>
      </c>
      <c r="Q251" s="124" t="n">
        <v>0</v>
      </c>
      <c r="R251" s="124" t="n">
        <v>0</v>
      </c>
      <c r="S251" s="124" t="n">
        <v>0</v>
      </c>
      <c r="T251" s="124" t="n">
        <v>57</v>
      </c>
      <c r="U251" s="124" t="n"/>
      <c r="V251" s="124" t="n"/>
      <c r="W251" s="125">
        <f t="array" ref="W251">SUM(I251:V251)</f>
        <v/>
      </c>
      <c r="X251" s="126" t="n">
        <v>0</v>
      </c>
      <c r="Y251" s="125">
        <f t="array" ref="Y251">W251+X251</f>
        <v/>
      </c>
      <c r="Z251" s="125">
        <f t="array" ref="Z251">G251-Y251</f>
        <v/>
      </c>
      <c r="AA251" s="121">
        <f t="array" ref="AA251">ROUND(W251*H251,2)</f>
        <v/>
      </c>
      <c r="AB251" s="127">
        <f t="array" ref="AB251">ROUND(X251*H251,2)</f>
        <v/>
      </c>
      <c r="AC251" s="121">
        <f t="array" ref="AC251">ROUND(AA251+AB251,2)</f>
        <v/>
      </c>
      <c r="AD251" s="127">
        <f t="array" ref="AD251">ROUND((G251*H251)-AC251,2)</f>
        <v/>
      </c>
      <c r="AE251" s="54">
        <f t="array" ref="AE251">_xlfn.IFERROR(ROUND(AC251/(G251*H251),2),0)</f>
        <v/>
      </c>
      <c r="AF251" s="7" t="n"/>
      <c r="AG251" s="7" t="n"/>
      <c r="AH251" s="7" t="n"/>
      <c r="AI251" s="7" t="n"/>
      <c r="AJ251" s="7" t="n"/>
      <c r="AK251" s="7" t="n"/>
      <c r="AL251" s="7" t="n"/>
    </row>
    <row r="252" ht="399.6" customHeight="1" s="104">
      <c r="A252" s="68" t="n">
        <v>3149</v>
      </c>
      <c r="B252" s="44" t="inlineStr">
        <is>
          <t>POSTE  RETO, EM AÇO GALVANIZADO À FOGO (ESPESSURA MÍN. CAMADA DE ZINCO 100 MICRONS),  CÔNICO CONTÍNUO, BASE ENGASTADA, RESISTENTE A VENTOS DE ATÉ 100KM/H, ALTURA LIVRE ACIMA DO SOLO 12 M, DIÂMETRO NO TOPO 60MM, COM JANELA DE INSPEÇÃO PARA FUSÍVEL TIPO D</t>
        </is>
      </c>
      <c r="C252" s="44" t="inlineStr">
        <is>
          <t>PÇ</t>
        </is>
      </c>
      <c r="D252" s="45" t="n">
        <v>50</v>
      </c>
      <c r="E252" s="45" t="n">
        <v>10</v>
      </c>
      <c r="F252" s="45" t="n"/>
      <c r="G252" s="45">
        <f t="array" ref="G252">SUM(D252:F252)</f>
        <v/>
      </c>
      <c r="H252" s="121">
        <f t="array" ref="H252">VLOOKUP(A252,#REF!,5,0)</f>
        <v/>
      </c>
      <c r="I252" s="122" t="n">
        <v>0</v>
      </c>
      <c r="J252" s="123" t="n">
        <v>0</v>
      </c>
      <c r="K252" s="124" t="n">
        <v>0</v>
      </c>
      <c r="L252" s="123" t="n">
        <v>0</v>
      </c>
      <c r="M252" s="124" t="n">
        <v>0</v>
      </c>
      <c r="N252" s="124" t="n">
        <v>0</v>
      </c>
      <c r="O252" s="124" t="n">
        <v>0</v>
      </c>
      <c r="P252" s="124" t="n">
        <v>0</v>
      </c>
      <c r="Q252" s="124" t="n">
        <v>0</v>
      </c>
      <c r="R252" s="124" t="n">
        <v>12</v>
      </c>
      <c r="S252" s="124" t="n">
        <v>13</v>
      </c>
      <c r="T252" s="124" t="n">
        <v>22</v>
      </c>
      <c r="U252" s="124" t="n"/>
      <c r="V252" s="124" t="n"/>
      <c r="W252" s="125">
        <f t="array" ref="W252">SUM(I252:V252)</f>
        <v/>
      </c>
      <c r="X252" s="126" t="n">
        <v>0</v>
      </c>
      <c r="Y252" s="125">
        <f t="array" ref="Y252">W252+X252</f>
        <v/>
      </c>
      <c r="Z252" s="125">
        <f t="array" ref="Z252">G252-Y252</f>
        <v/>
      </c>
      <c r="AA252" s="121">
        <f t="array" ref="AA252">ROUND(W252*H252,2)</f>
        <v/>
      </c>
      <c r="AB252" s="127">
        <f t="array" ref="AB252">ROUND(X252*H252,2)</f>
        <v/>
      </c>
      <c r="AC252" s="121">
        <f t="array" ref="AC252">ROUND(AA252+AB252,2)</f>
        <v/>
      </c>
      <c r="AD252" s="127">
        <f t="array" ref="AD252">ROUND((G252*H252)-AC252,2)</f>
        <v/>
      </c>
      <c r="AE252" s="54">
        <f t="array" ref="AE252">_xlfn.IFERROR(ROUND(AC252/(G252*H252),2),0)</f>
        <v/>
      </c>
      <c r="AF252" s="7" t="n"/>
      <c r="AG252" s="7" t="n"/>
      <c r="AH252" s="7" t="n"/>
      <c r="AI252" s="7" t="n"/>
      <c r="AJ252" s="7" t="n"/>
      <c r="AK252" s="7" t="n"/>
      <c r="AL252" s="7" t="n"/>
    </row>
    <row r="253" ht="66.59999999999999" customHeight="1" s="104">
      <c r="A253" s="68" t="n">
        <v>3150</v>
      </c>
      <c r="B253" s="44" t="inlineStr">
        <is>
          <t>POSTE DE CONCRETO DUPLO T, 9/200</t>
        </is>
      </c>
      <c r="C253" s="44" t="inlineStr">
        <is>
          <t>PÇ</t>
        </is>
      </c>
      <c r="D253" s="45" t="n">
        <v>50</v>
      </c>
      <c r="E253" s="45" t="n">
        <v>120</v>
      </c>
      <c r="F253" s="45" t="n"/>
      <c r="G253" s="45">
        <f t="array" ref="G253">SUM(D253:F253)</f>
        <v/>
      </c>
      <c r="H253" s="121">
        <f t="array" ref="H253">VLOOKUP(A253,#REF!,5,0)</f>
        <v/>
      </c>
      <c r="I253" s="122" t="n">
        <v>0</v>
      </c>
      <c r="J253" s="123" t="n">
        <v>16</v>
      </c>
      <c r="K253" s="124" t="n">
        <v>8</v>
      </c>
      <c r="L253" s="123" t="n">
        <v>13</v>
      </c>
      <c r="M253" s="124" t="n">
        <v>13</v>
      </c>
      <c r="N253" s="124" t="n">
        <v>10</v>
      </c>
      <c r="O253" s="124" t="n">
        <v>11</v>
      </c>
      <c r="P253" s="124" t="n">
        <v>6</v>
      </c>
      <c r="Q253" s="124" t="n">
        <v>0</v>
      </c>
      <c r="R253" s="124" t="n">
        <v>35</v>
      </c>
      <c r="S253" s="124" t="n">
        <v>16</v>
      </c>
      <c r="T253" s="124" t="n">
        <v>8</v>
      </c>
      <c r="U253" s="124" t="n"/>
      <c r="V253" s="124" t="n"/>
      <c r="W253" s="125">
        <f t="array" ref="W253">SUM(I253:V253)</f>
        <v/>
      </c>
      <c r="X253" s="126" t="n">
        <v>0</v>
      </c>
      <c r="Y253" s="125">
        <f t="array" ref="Y253">W253+X253</f>
        <v/>
      </c>
      <c r="Z253" s="125">
        <f t="array" ref="Z253">G253-Y253</f>
        <v/>
      </c>
      <c r="AA253" s="121">
        <f t="array" ref="AA253">ROUND(W253*H253,2)</f>
        <v/>
      </c>
      <c r="AB253" s="127">
        <f t="array" ref="AB253">ROUND(X253*H253,2)</f>
        <v/>
      </c>
      <c r="AC253" s="121">
        <f t="array" ref="AC253">ROUND(AA253+AB253,2)</f>
        <v/>
      </c>
      <c r="AD253" s="127">
        <f t="array" ref="AD253">ROUND((G253*H253)-AC253,2)</f>
        <v/>
      </c>
      <c r="AE253" s="54">
        <f t="array" ref="AE253">_xlfn.IFERROR(ROUND(AC253/(G253*H253),2),0)</f>
        <v/>
      </c>
      <c r="AF253" s="7" t="n"/>
      <c r="AG253" s="7" t="n"/>
      <c r="AH253" s="7" t="n"/>
      <c r="AI253" s="7" t="n"/>
      <c r="AJ253" s="7" t="n"/>
      <c r="AK253" s="7" t="n"/>
      <c r="AL253" s="7" t="n"/>
    </row>
    <row r="254" ht="409.6" customHeight="1" s="104">
      <c r="A254" s="68" t="n">
        <v>3151</v>
      </c>
      <c r="B254" s="44" t="inlineStr">
        <is>
          <t>POSTE RETO EM POLIÉSTER REFORÇADO COM FIBRA DE VIDRO (PRFV), ALTURA LIVRE 5 METROS, DIÂMETRO NO TOPO 60 MM, TIPO CÔNICO CONTÍNUO DE SEÇÃO CIRCULAR, BASE ENGASTADA, COM JANELA DE INSPEÇÃO COM SUPORTE PARA 2 FUSÍVEIS TIPO NEOZED, PINTADO NA COR BRANCO GELO OU OUTRA A SER DEFINIDA, COM ADERÊNCIA DA TINTA CONFORME NORMA  NBR 11003  DA ABNT</t>
        </is>
      </c>
      <c r="C254" s="44" t="inlineStr">
        <is>
          <t>PÇ</t>
        </is>
      </c>
      <c r="D254" s="45" t="n">
        <v>25</v>
      </c>
      <c r="E254" s="45" t="n"/>
      <c r="F254" s="45" t="n"/>
      <c r="G254" s="45">
        <f t="array" ref="G254">SUM(D254:F254)</f>
        <v/>
      </c>
      <c r="H254" s="121">
        <f t="array" ref="H254">VLOOKUP(A254,#REF!,5,0)</f>
        <v/>
      </c>
      <c r="I254" s="122" t="n">
        <v>0</v>
      </c>
      <c r="J254" s="123" t="n">
        <v>0</v>
      </c>
      <c r="K254" s="124" t="n">
        <v>0</v>
      </c>
      <c r="L254" s="123" t="n">
        <v>4</v>
      </c>
      <c r="M254" s="124" t="n">
        <v>1</v>
      </c>
      <c r="N254" s="124" t="n">
        <v>6</v>
      </c>
      <c r="O254" s="124" t="n">
        <v>1</v>
      </c>
      <c r="P254" s="124" t="n">
        <v>0</v>
      </c>
      <c r="Q254" s="124" t="n">
        <v>0</v>
      </c>
      <c r="R254" s="124" t="n">
        <v>1</v>
      </c>
      <c r="S254" s="124" t="n">
        <v>0</v>
      </c>
      <c r="T254" s="124" t="n">
        <v>0</v>
      </c>
      <c r="U254" s="124" t="n"/>
      <c r="V254" s="124" t="n"/>
      <c r="W254" s="125">
        <f t="array" ref="W254">SUM(I254:V254)</f>
        <v/>
      </c>
      <c r="X254" s="126" t="n">
        <v>0</v>
      </c>
      <c r="Y254" s="125">
        <f t="array" ref="Y254">W254+X254</f>
        <v/>
      </c>
      <c r="Z254" s="125">
        <f t="array" ref="Z254">G254-Y254</f>
        <v/>
      </c>
      <c r="AA254" s="121">
        <f t="array" ref="AA254">ROUND(W254*H254,2)</f>
        <v/>
      </c>
      <c r="AB254" s="127">
        <f t="array" ref="AB254">ROUND(X254*H254,2)</f>
        <v/>
      </c>
      <c r="AC254" s="121">
        <f t="array" ref="AC254">ROUND(AA254+AB254,2)</f>
        <v/>
      </c>
      <c r="AD254" s="127">
        <f t="array" ref="AD254">ROUND((G254*H254)-AC254,2)</f>
        <v/>
      </c>
      <c r="AE254" s="54">
        <f t="array" ref="AE254">_xlfn.IFERROR(ROUND(AC254/(G254*H254),2),0)</f>
        <v/>
      </c>
      <c r="AF254" s="7" t="n"/>
      <c r="AG254" s="7" t="n"/>
      <c r="AH254" s="7" t="n"/>
      <c r="AI254" s="7" t="n"/>
      <c r="AJ254" s="7" t="n"/>
      <c r="AK254" s="7" t="n"/>
      <c r="AL254" s="7" t="n"/>
    </row>
    <row r="255" ht="399.6" customHeight="1" s="104">
      <c r="A255" s="68" t="n">
        <v>3152</v>
      </c>
      <c r="B255" s="44" t="inlineStr">
        <is>
          <t>PROJETOR LED PARA EMBUTIR NO SOLO DE ÓTICA CIRCULAR COM OPÇÕES DIVERSAS DE FOTOMETRIAS ENTRE 5° E 120°, IP 67, VIDA ÚTIL L70 @50.000 HORAS, TEMPERATURA DE OPERAÇÃO ENTRE - 30ºC A 50ºC, IRC &gt;80, OPÇÕES DE TK 3000, 4000 E RGB, 220V, 50/60HZ, POTÊNCIA MÁXIMA 50W, FLUXO MÍNIMO 3.000LM</t>
        </is>
      </c>
      <c r="C255" s="44" t="inlineStr">
        <is>
          <t>PÇ</t>
        </is>
      </c>
      <c r="D255" s="45" t="n">
        <v>5</v>
      </c>
      <c r="E255" s="45" t="n"/>
      <c r="F255" s="45" t="n"/>
      <c r="G255" s="45">
        <f t="array" ref="G255">SUM(D255:F255)</f>
        <v/>
      </c>
      <c r="H255" s="121">
        <f t="array" ref="H255">VLOOKUP(A255,#REF!,5,0)</f>
        <v/>
      </c>
      <c r="I255" s="122" t="n">
        <v>0</v>
      </c>
      <c r="J255" s="123" t="n">
        <v>0</v>
      </c>
      <c r="K255" s="124" t="n">
        <v>0</v>
      </c>
      <c r="L255" s="123" t="n">
        <v>0</v>
      </c>
      <c r="M255" s="124" t="n">
        <v>0</v>
      </c>
      <c r="N255" s="124" t="n">
        <v>0</v>
      </c>
      <c r="O255" s="124" t="n">
        <v>0</v>
      </c>
      <c r="P255" s="124" t="n">
        <v>0</v>
      </c>
      <c r="Q255" s="124" t="n">
        <v>0</v>
      </c>
      <c r="R255" s="124" t="n">
        <v>0</v>
      </c>
      <c r="S255" s="124" t="n">
        <v>0</v>
      </c>
      <c r="T255" s="124" t="n">
        <v>0</v>
      </c>
      <c r="U255" s="124" t="n"/>
      <c r="V255" s="124" t="n"/>
      <c r="W255" s="125">
        <f t="array" ref="W255">SUM(I255:V255)</f>
        <v/>
      </c>
      <c r="X255" s="126" t="n">
        <v>0</v>
      </c>
      <c r="Y255" s="125">
        <f t="array" ref="Y255">W255+X255</f>
        <v/>
      </c>
      <c r="Z255" s="125">
        <f t="array" ref="Z255">G255-Y255</f>
        <v/>
      </c>
      <c r="AA255" s="121">
        <f t="array" ref="AA255">ROUND(W255*H255,2)</f>
        <v/>
      </c>
      <c r="AB255" s="127">
        <f t="array" ref="AB255">ROUND(X255*H255,2)</f>
        <v/>
      </c>
      <c r="AC255" s="121">
        <f t="array" ref="AC255">ROUND(AA255+AB255,2)</f>
        <v/>
      </c>
      <c r="AD255" s="127">
        <f t="array" ref="AD255">ROUND((G255*H255)-AC255,2)</f>
        <v/>
      </c>
      <c r="AE255" s="54">
        <f t="array" ref="AE255">_xlfn.IFERROR(ROUND(AC255/(G255*H255),2),0)</f>
        <v/>
      </c>
      <c r="AF255" s="7" t="n"/>
      <c r="AG255" s="7" t="n"/>
      <c r="AH255" s="7" t="n"/>
      <c r="AI255" s="7" t="n"/>
      <c r="AJ255" s="7" t="n"/>
      <c r="AK255" s="7" t="n"/>
      <c r="AL255" s="7" t="n"/>
    </row>
    <row r="256" ht="333" customHeight="1" s="104">
      <c r="A256" s="68" t="n">
        <v>3153</v>
      </c>
      <c r="B256" s="44" t="inlineStr">
        <is>
          <t>PROJETOR LED COM TECNOLOGIA LED INTEGRADA, USO EXTERNO, TEMPERATURA DE COR 4000K OU 5000K, IP 66, CORPO EM ALUMÍNIO INJETADO, IRC &gt; 70, TEMPERATURA DE OPERAÇÃO ENTRE - 30ºC A 50ºC,FLUXO MÍNIMO DE 12050 LM, POTÊNCIA MÁXIMA 100W.</t>
        </is>
      </c>
      <c r="C256" s="44" t="inlineStr">
        <is>
          <t>PÇ</t>
        </is>
      </c>
      <c r="D256" s="45" t="n">
        <v>12</v>
      </c>
      <c r="E256" s="45" t="n"/>
      <c r="F256" s="45" t="n"/>
      <c r="G256" s="45">
        <f t="array" ref="G256">SUM(D256:F256)</f>
        <v/>
      </c>
      <c r="H256" s="121">
        <f t="array" ref="H256">VLOOKUP(A256,#REF!,5,0)</f>
        <v/>
      </c>
      <c r="I256" s="122" t="n">
        <v>0</v>
      </c>
      <c r="J256" s="123" t="n">
        <v>0</v>
      </c>
      <c r="K256" s="124" t="n">
        <v>0</v>
      </c>
      <c r="L256" s="123" t="n">
        <v>0</v>
      </c>
      <c r="M256" s="124" t="n">
        <v>0</v>
      </c>
      <c r="N256" s="124" t="n">
        <v>3</v>
      </c>
      <c r="O256" s="124" t="n">
        <v>0</v>
      </c>
      <c r="P256" s="124" t="n">
        <v>0</v>
      </c>
      <c r="Q256" s="124" t="n">
        <v>4</v>
      </c>
      <c r="R256" s="124" t="n">
        <v>0</v>
      </c>
      <c r="S256" s="124" t="n">
        <v>1</v>
      </c>
      <c r="T256" s="124" t="n">
        <v>4</v>
      </c>
      <c r="U256" s="124" t="n"/>
      <c r="V256" s="124" t="n"/>
      <c r="W256" s="125">
        <f t="array" ref="W256">SUM(I256:V256)</f>
        <v/>
      </c>
      <c r="X256" s="126" t="n">
        <v>0</v>
      </c>
      <c r="Y256" s="125">
        <f t="array" ref="Y256">W256+X256</f>
        <v/>
      </c>
      <c r="Z256" s="125">
        <f t="array" ref="Z256">G256-Y256</f>
        <v/>
      </c>
      <c r="AA256" s="121">
        <f t="array" ref="AA256">ROUND(W256*H256,2)</f>
        <v/>
      </c>
      <c r="AB256" s="127">
        <f t="array" ref="AB256">ROUND(X256*H256,2)</f>
        <v/>
      </c>
      <c r="AC256" s="121">
        <f t="array" ref="AC256">ROUND(AA256+AB256,2)</f>
        <v/>
      </c>
      <c r="AD256" s="127">
        <f t="array" ref="AD256">ROUND((G256*H256)-AC256,2)</f>
        <v/>
      </c>
      <c r="AE256" s="54">
        <f t="array" ref="AE256">_xlfn.IFERROR(ROUND(AC256/(G256*H256),2),0)</f>
        <v/>
      </c>
      <c r="AF256" s="7" t="n"/>
      <c r="AG256" s="7" t="n"/>
      <c r="AH256" s="7" t="n"/>
      <c r="AI256" s="7" t="n"/>
      <c r="AJ256" s="7" t="n"/>
      <c r="AK256" s="7" t="n"/>
      <c r="AL256" s="7" t="n"/>
    </row>
    <row r="257" ht="333" customHeight="1" s="104">
      <c r="A257" s="68" t="n">
        <v>3154</v>
      </c>
      <c r="B257" s="44" t="inlineStr">
        <is>
          <t>PROJETOR LED COM TECNOLOGIA LED INTEGRADA, USO EXTERNO, TEMPERATURA DE COR 4000K OU 5000K, IP 66, CORPO EM ALUMÍNIO INJETADO, IRC &gt; 70, TEMPERATURA DE OPERAÇÃO ENTRE - 30ºC A 50ºC,FLUXO MÍNIMO DE 16900 LM, POTÊNCIA MÁXIMA 150W.</t>
        </is>
      </c>
      <c r="C257" s="44" t="inlineStr">
        <is>
          <t>PÇ</t>
        </is>
      </c>
      <c r="D257" s="45" t="n">
        <v>25</v>
      </c>
      <c r="E257" s="45" t="n"/>
      <c r="F257" s="45" t="n"/>
      <c r="G257" s="45">
        <f t="array" ref="G257">SUM(D257:F257)</f>
        <v/>
      </c>
      <c r="H257" s="121">
        <f t="array" ref="H257">VLOOKUP(A257,#REF!,5,0)</f>
        <v/>
      </c>
      <c r="I257" s="122" t="n">
        <v>0</v>
      </c>
      <c r="J257" s="123" t="n">
        <v>0</v>
      </c>
      <c r="K257" s="124" t="n">
        <v>14</v>
      </c>
      <c r="L257" s="123" t="n">
        <v>6</v>
      </c>
      <c r="M257" s="124" t="n">
        <v>0</v>
      </c>
      <c r="N257" s="124" t="n">
        <v>0</v>
      </c>
      <c r="O257" s="124" t="n">
        <v>0</v>
      </c>
      <c r="P257" s="124" t="n">
        <v>0</v>
      </c>
      <c r="Q257" s="124" t="n">
        <v>0</v>
      </c>
      <c r="R257" s="124" t="n">
        <v>2</v>
      </c>
      <c r="S257" s="124" t="n">
        <v>3</v>
      </c>
      <c r="T257" s="124" t="n">
        <v>0</v>
      </c>
      <c r="U257" s="124" t="n"/>
      <c r="V257" s="124" t="n"/>
      <c r="W257" s="125">
        <f t="array" ref="W257">SUM(I257:V257)</f>
        <v/>
      </c>
      <c r="X257" s="126" t="n">
        <v>0</v>
      </c>
      <c r="Y257" s="125">
        <f t="array" ref="Y257">W257+X257</f>
        <v/>
      </c>
      <c r="Z257" s="125">
        <f t="array" ref="Z257">G257-Y257</f>
        <v/>
      </c>
      <c r="AA257" s="121">
        <f t="array" ref="AA257">ROUND(W257*H257,2)</f>
        <v/>
      </c>
      <c r="AB257" s="127">
        <f t="array" ref="AB257">ROUND(X257*H257,2)</f>
        <v/>
      </c>
      <c r="AC257" s="121">
        <f t="array" ref="AC257">ROUND(AA257+AB257,2)</f>
        <v/>
      </c>
      <c r="AD257" s="127">
        <f t="array" ref="AD257">ROUND((G257*H257)-AC257,2)</f>
        <v/>
      </c>
      <c r="AE257" s="54">
        <f t="array" ref="AE257">_xlfn.IFERROR(ROUND(AC257/(G257*H257),2),0)</f>
        <v/>
      </c>
      <c r="AF257" s="7" t="n"/>
      <c r="AG257" s="7" t="n"/>
      <c r="AH257" s="7" t="n"/>
      <c r="AI257" s="7" t="n"/>
      <c r="AJ257" s="7" t="n"/>
      <c r="AK257" s="7" t="n"/>
      <c r="AL257" s="7" t="n"/>
    </row>
    <row r="258" ht="333" customHeight="1" s="104">
      <c r="A258" s="68" t="n">
        <v>3155</v>
      </c>
      <c r="B258" s="44" t="inlineStr">
        <is>
          <t>PROJETOR LED COM TECNOLOGIA LED INTEGRADA, USO EXTERNO, TEMPERATURA DE COR 4000K OU 5000K, IP 66, CORPO EM ALUMÍNIO INJETADO, IRC &gt; 70, TEMPERATURA DE OPERAÇÃO ENTRE - 30ºC A 50ºC,FLUXO MÍNIMO DE 33000 LM, POTÊNCIA MÁXIMA 250W.</t>
        </is>
      </c>
      <c r="C258" s="44" t="inlineStr">
        <is>
          <t>PÇ</t>
        </is>
      </c>
      <c r="D258" s="45" t="n">
        <v>50</v>
      </c>
      <c r="E258" s="45" t="n"/>
      <c r="F258" s="45" t="n"/>
      <c r="G258" s="45">
        <f t="array" ref="G258">SUM(D258:F258)</f>
        <v/>
      </c>
      <c r="H258" s="121">
        <f t="array" ref="H258">VLOOKUP(A258,#REF!,5,0)</f>
        <v/>
      </c>
      <c r="I258" s="122" t="n">
        <v>0</v>
      </c>
      <c r="J258" s="123" t="n">
        <v>0</v>
      </c>
      <c r="K258" s="124" t="n">
        <v>0</v>
      </c>
      <c r="L258" s="123" t="n">
        <v>6</v>
      </c>
      <c r="M258" s="124" t="n">
        <v>10</v>
      </c>
      <c r="N258" s="124" t="n">
        <v>0</v>
      </c>
      <c r="O258" s="124" t="n">
        <v>0</v>
      </c>
      <c r="P258" s="124" t="n">
        <v>0</v>
      </c>
      <c r="Q258" s="124" t="n">
        <v>0</v>
      </c>
      <c r="R258" s="124" t="n">
        <v>0</v>
      </c>
      <c r="S258" s="124" t="n">
        <v>15</v>
      </c>
      <c r="T258" s="124" t="n">
        <v>10</v>
      </c>
      <c r="U258" s="124" t="n"/>
      <c r="V258" s="124" t="n"/>
      <c r="W258" s="125">
        <f t="array" ref="W258">SUM(I258:V258)</f>
        <v/>
      </c>
      <c r="X258" s="126" t="n">
        <v>0</v>
      </c>
      <c r="Y258" s="125">
        <f t="array" ref="Y258">W258+X258</f>
        <v/>
      </c>
      <c r="Z258" s="125">
        <f t="array" ref="Z258">G258-Y258</f>
        <v/>
      </c>
      <c r="AA258" s="121">
        <f t="array" ref="AA258">ROUND(W258*H258,2)</f>
        <v/>
      </c>
      <c r="AB258" s="127">
        <f t="array" ref="AB258">ROUND(X258*H258,2)</f>
        <v/>
      </c>
      <c r="AC258" s="121">
        <f t="array" ref="AC258">ROUND(AA258+AB258,2)</f>
        <v/>
      </c>
      <c r="AD258" s="127">
        <f t="array" ref="AD258">ROUND((G258*H258)-AC258,2)</f>
        <v/>
      </c>
      <c r="AE258" s="54">
        <f t="array" ref="AE258">_xlfn.IFERROR(ROUND(AC258/(G258*H258),2),0)</f>
        <v/>
      </c>
      <c r="AF258" s="7" t="n"/>
      <c r="AG258" s="7" t="n"/>
      <c r="AH258" s="7" t="n"/>
      <c r="AI258" s="7" t="n"/>
      <c r="AJ258" s="7" t="n"/>
      <c r="AK258" s="7" t="n"/>
      <c r="AL258" s="7" t="n"/>
    </row>
    <row r="259" ht="333" customHeight="1" s="104">
      <c r="A259" s="68" t="n">
        <v>3156</v>
      </c>
      <c r="B259" s="44" t="inlineStr">
        <is>
          <t>PROJETOR LED COM TECNOLOGIA LED INTEGRADA, USO EXTERNO, TEMPERATURA DE COR 4000K OU 5000K, IP 66, CORPO EM ALUMÍNIO INJETADO, IRC &gt; 70, TEMPERATURA DE OPERAÇÃO ENTRE - 30ºC A 50ºC,FLUXO MÍNIMO DE 36000 LM, POTÊNCIA MÁXIMA 300W.</t>
        </is>
      </c>
      <c r="C259" s="44" t="inlineStr">
        <is>
          <t>PÇ</t>
        </is>
      </c>
      <c r="D259" s="45" t="n">
        <v>25</v>
      </c>
      <c r="E259" s="45" t="n"/>
      <c r="F259" s="45" t="n"/>
      <c r="G259" s="45">
        <f t="array" ref="G259">SUM(D259:F259)</f>
        <v/>
      </c>
      <c r="H259" s="121">
        <f t="array" ref="H259">VLOOKUP(A259,#REF!,5,0)</f>
        <v/>
      </c>
      <c r="I259" s="122" t="n">
        <v>0</v>
      </c>
      <c r="J259" s="123" t="n">
        <v>0</v>
      </c>
      <c r="K259" s="124" t="n">
        <v>0</v>
      </c>
      <c r="L259" s="123" t="n">
        <v>24</v>
      </c>
      <c r="M259" s="124" t="n">
        <v>1</v>
      </c>
      <c r="N259" s="124" t="n">
        <v>0</v>
      </c>
      <c r="O259" s="124" t="n">
        <v>0</v>
      </c>
      <c r="P259" s="124" t="n">
        <v>0</v>
      </c>
      <c r="Q259" s="124" t="n">
        <v>0</v>
      </c>
      <c r="R259" s="124" t="n">
        <v>0</v>
      </c>
      <c r="S259" s="124" t="n">
        <v>0</v>
      </c>
      <c r="T259" s="124" t="n">
        <v>0</v>
      </c>
      <c r="U259" s="124" t="n"/>
      <c r="V259" s="124" t="n"/>
      <c r="W259" s="125">
        <f t="array" ref="W259">SUM(I259:V259)</f>
        <v/>
      </c>
      <c r="X259" s="126" t="n">
        <v>0</v>
      </c>
      <c r="Y259" s="125">
        <f t="array" ref="Y259">W259+X259</f>
        <v/>
      </c>
      <c r="Z259" s="125">
        <f t="array" ref="Z259">G259-Y259</f>
        <v/>
      </c>
      <c r="AA259" s="121">
        <f t="array" ref="AA259">ROUND(W259*H259,2)</f>
        <v/>
      </c>
      <c r="AB259" s="127">
        <f t="array" ref="AB259">ROUND(X259*H259,2)</f>
        <v/>
      </c>
      <c r="AC259" s="121">
        <f t="array" ref="AC259">ROUND(AA259+AB259,2)</f>
        <v/>
      </c>
      <c r="AD259" s="127">
        <f t="array" ref="AD259">ROUND((G259*H259)-AC259,2)</f>
        <v/>
      </c>
      <c r="AE259" s="54">
        <f t="array" ref="AE259">_xlfn.IFERROR(ROUND(AC259/(G259*H259),2),0)</f>
        <v/>
      </c>
      <c r="AF259" s="7" t="n"/>
      <c r="AG259" s="7" t="n"/>
      <c r="AH259" s="7" t="n"/>
      <c r="AI259" s="7" t="n"/>
      <c r="AJ259" s="7" t="n"/>
      <c r="AK259" s="7" t="n"/>
      <c r="AL259" s="7" t="n"/>
    </row>
    <row r="260" ht="333" customHeight="1" s="104">
      <c r="A260" s="68" t="n">
        <v>3157</v>
      </c>
      <c r="B260" s="44" t="inlineStr">
        <is>
          <t>PROJETOR LED COM TECNOLOGIA LED INTEGRADA, USO EXTERNO, TEMPERATURA DE COR 4000K OU 5000K, IP 66, CORPO EM ALUMÍNIO INJETADO, IRC &gt; 70, TEMPERATURA DE OPERAÇÃO ENTRE - 30ºC A 50ºC,FLUXO MÍNIMO DE 45000 LM, POTÊNCIA MÁXIMA 350W.</t>
        </is>
      </c>
      <c r="C260" s="44" t="inlineStr">
        <is>
          <t>PÇ</t>
        </is>
      </c>
      <c r="D260" s="45" t="n">
        <v>12</v>
      </c>
      <c r="E260" s="45" t="n"/>
      <c r="F260" s="45" t="n"/>
      <c r="G260" s="45">
        <f t="array" ref="G260">SUM(D260:F260)</f>
        <v/>
      </c>
      <c r="H260" s="121">
        <f t="array" ref="H260">VLOOKUP(A260,#REF!,5,0)</f>
        <v/>
      </c>
      <c r="I260" s="122" t="n">
        <v>0</v>
      </c>
      <c r="J260" s="123" t="n">
        <v>0</v>
      </c>
      <c r="K260" s="124" t="n">
        <v>0</v>
      </c>
      <c r="L260" s="123" t="n">
        <v>0</v>
      </c>
      <c r="M260" s="124" t="n">
        <v>0</v>
      </c>
      <c r="N260" s="124" t="n">
        <v>3</v>
      </c>
      <c r="O260" s="124" t="n">
        <v>0</v>
      </c>
      <c r="P260" s="124" t="n">
        <v>3</v>
      </c>
      <c r="Q260" s="124" t="n">
        <v>0</v>
      </c>
      <c r="R260" s="124" t="n">
        <v>0</v>
      </c>
      <c r="S260" s="124" t="n">
        <v>5</v>
      </c>
      <c r="T260" s="124" t="n">
        <v>1</v>
      </c>
      <c r="U260" s="124" t="n"/>
      <c r="V260" s="124" t="n"/>
      <c r="W260" s="125">
        <f t="array" ref="W260">SUM(I260:V260)</f>
        <v/>
      </c>
      <c r="X260" s="126" t="n">
        <v>0</v>
      </c>
      <c r="Y260" s="125">
        <f t="array" ref="Y260">W260+X260</f>
        <v/>
      </c>
      <c r="Z260" s="125">
        <f t="array" ref="Z260">G260-Y260</f>
        <v/>
      </c>
      <c r="AA260" s="121">
        <f t="array" ref="AA260">ROUND(W260*H260,2)</f>
        <v/>
      </c>
      <c r="AB260" s="127">
        <f t="array" ref="AB260">ROUND(X260*H260,2)</f>
        <v/>
      </c>
      <c r="AC260" s="121">
        <f t="array" ref="AC260">ROUND(AA260+AB260,2)</f>
        <v/>
      </c>
      <c r="AD260" s="127">
        <f t="array" ref="AD260">ROUND((G260*H260)-AC260,2)</f>
        <v/>
      </c>
      <c r="AE260" s="54">
        <f t="array" ref="AE260">_xlfn.IFERROR(ROUND(AC260/(G260*H260),2),0)</f>
        <v/>
      </c>
      <c r="AF260" s="7" t="n"/>
      <c r="AG260" s="7" t="n"/>
      <c r="AH260" s="7" t="n"/>
      <c r="AI260" s="7" t="n"/>
      <c r="AJ260" s="7" t="n"/>
      <c r="AK260" s="7" t="n"/>
      <c r="AL260" s="7" t="n"/>
    </row>
    <row r="261" ht="333" customHeight="1" s="104">
      <c r="A261" s="68" t="n">
        <v>3158</v>
      </c>
      <c r="B261" s="44" t="inlineStr">
        <is>
          <t>PROJETOR LED COM TECNOLOGIA LED INTEGRADA, USO EXTERNO, TEMPERATURA DE COR 4000K OU 5000K, IP 66, CORPO EM ALUMÍNIO INJETADO, IRC &gt; 70, TEMPERATURA DE OPERAÇÃO ENTRE - 30ºC A 50ºC,FLUXO MÍNIMO DE 54000 LM, POTÊNCIA MÁXIMA 400W.</t>
        </is>
      </c>
      <c r="C261" s="44" t="inlineStr">
        <is>
          <t>PÇ</t>
        </is>
      </c>
      <c r="D261" s="45" t="n">
        <v>12</v>
      </c>
      <c r="E261" s="45" t="n"/>
      <c r="F261" s="45" t="n"/>
      <c r="G261" s="45">
        <f t="array" ref="G261">SUM(D261:F261)</f>
        <v/>
      </c>
      <c r="H261" s="121">
        <f t="array" ref="H261">VLOOKUP(A261,#REF!,5,0)</f>
        <v/>
      </c>
      <c r="I261" s="122" t="n">
        <v>0</v>
      </c>
      <c r="J261" s="123" t="n">
        <v>0</v>
      </c>
      <c r="K261" s="124" t="n">
        <v>0</v>
      </c>
      <c r="L261" s="123" t="n">
        <v>0</v>
      </c>
      <c r="M261" s="124" t="n">
        <v>0</v>
      </c>
      <c r="N261" s="124" t="n">
        <v>0</v>
      </c>
      <c r="O261" s="124" t="n">
        <v>6</v>
      </c>
      <c r="P261" s="124" t="n">
        <v>0</v>
      </c>
      <c r="Q261" s="124" t="n">
        <v>1</v>
      </c>
      <c r="R261" s="124" t="n">
        <v>0</v>
      </c>
      <c r="S261" s="124" t="n">
        <v>0</v>
      </c>
      <c r="T261" s="124" t="n">
        <v>5</v>
      </c>
      <c r="U261" s="124" t="n"/>
      <c r="V261" s="124" t="n"/>
      <c r="W261" s="125">
        <f t="array" ref="W261">SUM(I261:V261)</f>
        <v/>
      </c>
      <c r="X261" s="126" t="n">
        <v>0</v>
      </c>
      <c r="Y261" s="125">
        <f t="array" ref="Y261">W261+X261</f>
        <v/>
      </c>
      <c r="Z261" s="125">
        <f t="array" ref="Z261">G261-Y261</f>
        <v/>
      </c>
      <c r="AA261" s="121">
        <f t="array" ref="AA261">ROUND(W261*H261,2)</f>
        <v/>
      </c>
      <c r="AB261" s="127">
        <f t="array" ref="AB261">ROUND(X261*H261,2)</f>
        <v/>
      </c>
      <c r="AC261" s="121">
        <f t="array" ref="AC261">ROUND(AA261+AB261,2)</f>
        <v/>
      </c>
      <c r="AD261" s="127">
        <f t="array" ref="AD261">ROUND((G261*H261)-AC261,2)</f>
        <v/>
      </c>
      <c r="AE261" s="54">
        <f t="array" ref="AE261">_xlfn.IFERROR(ROUND(AC261/(G261*H261),2),0)</f>
        <v/>
      </c>
      <c r="AF261" s="7" t="n"/>
      <c r="AG261" s="7" t="n"/>
      <c r="AH261" s="7" t="n"/>
      <c r="AI261" s="7" t="n"/>
      <c r="AJ261" s="7" t="n"/>
      <c r="AK261" s="7" t="n"/>
      <c r="AL261" s="7" t="n"/>
    </row>
    <row r="262" ht="333" customHeight="1" s="104">
      <c r="A262" s="68" t="n">
        <v>3159</v>
      </c>
      <c r="B262" s="44" t="inlineStr">
        <is>
          <t>PROJETOR LED COM TECNOLOGIA LED INTEGRADA, USO EXTERNO, TEMPERATURA DE COR 4000K OU 5000K, IP 66, CORPO EM ALUMÍNIO INJETADO, IRC &gt; 70, TEMPERATURA DE OPERAÇÃO ENTRE - 30ºC A 50ºC,FLUXO MÍNIMO DE 70000 LM, POTÊNCIA MÁXIMA 500W.</t>
        </is>
      </c>
      <c r="C262" s="44" t="inlineStr">
        <is>
          <t>PÇ</t>
        </is>
      </c>
      <c r="D262" s="45" t="n">
        <v>12</v>
      </c>
      <c r="E262" s="45" t="n"/>
      <c r="F262" s="45" t="n"/>
      <c r="G262" s="45">
        <f t="array" ref="G262">SUM(D262:F262)</f>
        <v/>
      </c>
      <c r="H262" s="121">
        <f t="array" ref="H262">VLOOKUP(A262,#REF!,5,0)</f>
        <v/>
      </c>
      <c r="I262" s="122" t="n">
        <v>0</v>
      </c>
      <c r="J262" s="123" t="n">
        <v>0</v>
      </c>
      <c r="K262" s="124" t="n">
        <v>0</v>
      </c>
      <c r="L262" s="123" t="n">
        <v>0</v>
      </c>
      <c r="M262" s="124" t="n">
        <v>6</v>
      </c>
      <c r="N262" s="124" t="n">
        <v>0</v>
      </c>
      <c r="O262" s="124" t="n">
        <v>0</v>
      </c>
      <c r="P262" s="124" t="n">
        <v>5</v>
      </c>
      <c r="Q262" s="124" t="n">
        <v>1</v>
      </c>
      <c r="R262" s="124" t="n">
        <v>0</v>
      </c>
      <c r="S262" s="124" t="n">
        <v>0</v>
      </c>
      <c r="T262" s="124" t="n">
        <v>0</v>
      </c>
      <c r="U262" s="124" t="n"/>
      <c r="V262" s="124" t="n"/>
      <c r="W262" s="125">
        <f t="array" ref="W262">SUM(I262:V262)</f>
        <v/>
      </c>
      <c r="X262" s="126" t="n">
        <v>0</v>
      </c>
      <c r="Y262" s="125">
        <f t="array" ref="Y262">W262+X262</f>
        <v/>
      </c>
      <c r="Z262" s="125">
        <f t="array" ref="Z262">G262-Y262</f>
        <v/>
      </c>
      <c r="AA262" s="121">
        <f t="array" ref="AA262">ROUND(W262*H262,2)</f>
        <v/>
      </c>
      <c r="AB262" s="127">
        <f t="array" ref="AB262">ROUND(X262*H262,2)</f>
        <v/>
      </c>
      <c r="AC262" s="121">
        <f t="array" ref="AC262">ROUND(AA262+AB262,2)</f>
        <v/>
      </c>
      <c r="AD262" s="127">
        <f t="array" ref="AD262">ROUND((G262*H262)-AC262,2)</f>
        <v/>
      </c>
      <c r="AE262" s="54">
        <f t="array" ref="AE262">_xlfn.IFERROR(ROUND(AC262/(G262*H262),2),0)</f>
        <v/>
      </c>
      <c r="AF262" s="7" t="n"/>
      <c r="AG262" s="7" t="n"/>
      <c r="AH262" s="7" t="n"/>
      <c r="AI262" s="7" t="n"/>
      <c r="AJ262" s="7" t="n"/>
      <c r="AK262" s="7" t="n"/>
      <c r="AL262" s="7" t="n"/>
    </row>
    <row r="263" ht="333" customHeight="1" s="104">
      <c r="A263" s="68" t="n">
        <v>3160</v>
      </c>
      <c r="B263" s="44" t="inlineStr">
        <is>
          <t>PROJETOR LED COM TECNOLOGIA LED INTEGRADA, USO EXTERNO, TEMPERATURA DE COR 4000K OU 5000K, IP 66, CORPO EM ALUMÍNIO INJETADO, IRC &gt; 70, TEMPERATURA DE OPERAÇÃO ENTRE - 30ºC A 50ºC,FLUXO MÍNIMO DE 91000 LM, POTÊNCIA MÁXIMA 650W.</t>
        </is>
      </c>
      <c r="C263" s="44" t="inlineStr">
        <is>
          <t>PÇ</t>
        </is>
      </c>
      <c r="D263" s="45" t="n">
        <v>2</v>
      </c>
      <c r="E263" s="45" t="n">
        <v>55</v>
      </c>
      <c r="F263" s="45" t="n"/>
      <c r="G263" s="45">
        <f t="array" ref="G263">SUM(D263:F263)</f>
        <v/>
      </c>
      <c r="H263" s="121">
        <f t="array" ref="H263">VLOOKUP(A263,#REF!,5,0)</f>
        <v/>
      </c>
      <c r="I263" s="122" t="n">
        <v>0</v>
      </c>
      <c r="J263" s="123" t="n">
        <v>0</v>
      </c>
      <c r="K263" s="124" t="n">
        <v>0</v>
      </c>
      <c r="L263" s="123" t="n">
        <v>10</v>
      </c>
      <c r="M263" s="124" t="n">
        <v>20</v>
      </c>
      <c r="N263" s="124" t="n">
        <v>1</v>
      </c>
      <c r="O263" s="124" t="n">
        <v>0</v>
      </c>
      <c r="P263" s="124" t="n">
        <v>0</v>
      </c>
      <c r="Q263" s="124" t="n">
        <v>0</v>
      </c>
      <c r="R263" s="124" t="n">
        <v>0</v>
      </c>
      <c r="S263" s="124" t="n">
        <v>1</v>
      </c>
      <c r="T263" s="124" t="n">
        <v>6</v>
      </c>
      <c r="U263" s="124" t="n"/>
      <c r="V263" s="124" t="n"/>
      <c r="W263" s="125">
        <f t="array" ref="W263">SUM(I263:V263)</f>
        <v/>
      </c>
      <c r="X263" s="126" t="n">
        <v>0</v>
      </c>
      <c r="Y263" s="125">
        <f t="array" ref="Y263">W263+X263</f>
        <v/>
      </c>
      <c r="Z263" s="125">
        <f t="array" ref="Z263">G263-Y263</f>
        <v/>
      </c>
      <c r="AA263" s="121">
        <f t="array" ref="AA263">ROUND(W263*H263,2)</f>
        <v/>
      </c>
      <c r="AB263" s="127">
        <f t="array" ref="AB263">ROUND(X263*H263,2)</f>
        <v/>
      </c>
      <c r="AC263" s="121">
        <f t="array" ref="AC263">ROUND(AA263+AB263,2)</f>
        <v/>
      </c>
      <c r="AD263" s="127">
        <f t="array" ref="AD263">ROUND((G263*H263)-AC263,2)</f>
        <v/>
      </c>
      <c r="AE263" s="54">
        <f t="array" ref="AE263">_xlfn.IFERROR(ROUND(AC263/(G263*H263),2),0)</f>
        <v/>
      </c>
      <c r="AF263" s="7" t="n"/>
      <c r="AG263" s="7" t="n"/>
      <c r="AH263" s="7" t="n"/>
      <c r="AI263" s="7" t="n"/>
      <c r="AJ263" s="7" t="n"/>
      <c r="AK263" s="7" t="n"/>
      <c r="AL263" s="7" t="n"/>
    </row>
    <row r="264" ht="409.6" customHeight="1" s="104">
      <c r="A264" s="68" t="n">
        <v>3161</v>
      </c>
      <c r="B264" s="44" t="inlineStr">
        <is>
          <t>PROJETOR RETANGULAR  PARA LÂMPADA VAPOR DE SÓDIO OU METÁLICO ATÉ 150W, PORTA LÂMPADA RX7S, RX7S-24 OU E-27, CORPO EM LIGA DE ALUMÍNIO INJETADO, COM ALOJAMENTO PARA EQUIPAMENTOS AUXILIARES, PINTADO NA COR BRANCA, PRETA OU CINZA, REFLETOR EM ALUMÍNIO PURÍSSIMO, FACHO SIMÉTRICO OU ASSIMÉTRICO, ABERTO OU FECHADO, VIDRO PLANO TEMPERADO PARA PROTEÇÃO DO CONJUNTO ÓTICO, PLACA DE EQUIPAMENTOS AUXILIARES REMOVÍVEL, TODOS OS PARAFUSOS EXTERNOS EM AÇO INOXIDÁVEL OU LATÃO, GRAU DE PROTEÇÃO DO CONJUNTO ÓTICO IP-65, SUPORTE EM AÇO GALVANIZADO À FOGO OU ALUMÍNIO INJETADO,  COM INDICADOR DE GRADUAÇÃO VERTICAL</t>
        </is>
      </c>
      <c r="C264" s="44" t="inlineStr">
        <is>
          <t>PÇ</t>
        </is>
      </c>
      <c r="D264" s="45" t="n">
        <v>50</v>
      </c>
      <c r="E264" s="45" t="n"/>
      <c r="F264" s="45" t="n"/>
      <c r="G264" s="45">
        <f t="array" ref="G264">SUM(D264:F264)</f>
        <v/>
      </c>
      <c r="H264" s="121">
        <f t="array" ref="H264">VLOOKUP(A264,#REF!,5,0)</f>
        <v/>
      </c>
      <c r="I264" s="122" t="n">
        <v>0</v>
      </c>
      <c r="J264" s="123" t="n">
        <v>0</v>
      </c>
      <c r="K264" s="124" t="n">
        <v>0</v>
      </c>
      <c r="L264" s="123" t="n">
        <v>0</v>
      </c>
      <c r="M264" s="124" t="n">
        <v>0</v>
      </c>
      <c r="N264" s="124" t="n">
        <v>0</v>
      </c>
      <c r="O264" s="124" t="n">
        <v>0</v>
      </c>
      <c r="P264" s="124" t="n">
        <v>0</v>
      </c>
      <c r="Q264" s="124" t="n">
        <v>0</v>
      </c>
      <c r="R264" s="124" t="n">
        <v>0</v>
      </c>
      <c r="S264" s="124" t="n">
        <v>0</v>
      </c>
      <c r="T264" s="124" t="n">
        <v>0</v>
      </c>
      <c r="U264" s="124" t="n"/>
      <c r="V264" s="124" t="n"/>
      <c r="W264" s="125">
        <f t="array" ref="W264">SUM(I264:V264)</f>
        <v/>
      </c>
      <c r="X264" s="126" t="n">
        <v>0</v>
      </c>
      <c r="Y264" s="125">
        <f t="array" ref="Y264">W264+X264</f>
        <v/>
      </c>
      <c r="Z264" s="125">
        <f t="array" ref="Z264">G264-Y264</f>
        <v/>
      </c>
      <c r="AA264" s="121">
        <f t="array" ref="AA264">ROUND(W264*H264,2)</f>
        <v/>
      </c>
      <c r="AB264" s="127">
        <f t="array" ref="AB264">ROUND(X264*H264,2)</f>
        <v/>
      </c>
      <c r="AC264" s="121">
        <f t="array" ref="AC264">ROUND(AA264+AB264,2)</f>
        <v/>
      </c>
      <c r="AD264" s="127">
        <f t="array" ref="AD264">ROUND((G264*H264)-AC264,2)</f>
        <v/>
      </c>
      <c r="AE264" s="54">
        <f t="array" ref="AE264">_xlfn.IFERROR(ROUND(AC264/(G264*H264),2),0)</f>
        <v/>
      </c>
      <c r="AF264" s="7" t="n"/>
      <c r="AG264" s="7" t="n"/>
      <c r="AH264" s="7" t="n"/>
      <c r="AI264" s="7" t="n"/>
      <c r="AJ264" s="7" t="n"/>
      <c r="AK264" s="7" t="n"/>
      <c r="AL264" s="7" t="n"/>
    </row>
    <row r="265" ht="409.6" customHeight="1" s="104">
      <c r="A265" s="68" t="n">
        <v>3162</v>
      </c>
      <c r="B265" s="44" t="inlineStr">
        <is>
          <t>PROJETOR RETANGULAR PARA LÂMPADA VAPOR DE SÓDIO OU VAPOR METÁLICO ATÉ 400W, PORTA-LÂMPADA  E-40, CORPO EM ALUMÍNIO INJETADO, COM ALOJAMENTO PARA EQUIPAMENTOS AUXILIARES, PINTURA EM POLIÉSTER A PÓ, NA COR CINZA, PRETO OU BRANCO, REFRATOR EM VIDRO PLANO TEMPERADO,  REFLETOR EM ALUMÍNIO DE ALTA PUREZA, ESTAMPADO E ANODIZADO, COM FACHO SIMÉTRICO, ABERTO OU FECHADO, PLACA DE  EQUIPAMENTOS AUXILIARES REMOVÍVEL, PARAFUSOS EXTERNOS EM INOXIDÁVEL OU LATÃO, PLACA DE  EQUIPAMENTOS AUXILIARES REMOVÍVEL, GRAU DE PROTEÇÃO DO CONJUNTO ÓTICO IP-65, SUPORTE EM AÇO GALVANIZADO À FOGO OU ALUMÍNIO INJETADO, COM INDICADOR GRADUADO PARA ORIENTAÇÃO VERTICAL</t>
        </is>
      </c>
      <c r="C265" s="44" t="inlineStr">
        <is>
          <t>PÇ</t>
        </is>
      </c>
      <c r="D265" s="45" t="n">
        <v>25</v>
      </c>
      <c r="E265" s="45" t="n"/>
      <c r="F265" s="45" t="n"/>
      <c r="G265" s="45">
        <f t="array" ref="G265">SUM(D265:F265)</f>
        <v/>
      </c>
      <c r="H265" s="121">
        <f t="array" ref="H265">VLOOKUP(A265,#REF!,5,0)</f>
        <v/>
      </c>
      <c r="I265" s="122" t="n">
        <v>0</v>
      </c>
      <c r="J265" s="123" t="n">
        <v>0</v>
      </c>
      <c r="K265" s="124" t="n">
        <v>0</v>
      </c>
      <c r="L265" s="123" t="n">
        <v>0</v>
      </c>
      <c r="M265" s="124" t="n">
        <v>0</v>
      </c>
      <c r="N265" s="124" t="n">
        <v>0</v>
      </c>
      <c r="O265" s="124" t="n">
        <v>0</v>
      </c>
      <c r="P265" s="124" t="n">
        <v>0</v>
      </c>
      <c r="Q265" s="124" t="n">
        <v>0</v>
      </c>
      <c r="R265" s="124" t="n">
        <v>0</v>
      </c>
      <c r="S265" s="124" t="n">
        <v>0</v>
      </c>
      <c r="T265" s="124" t="n">
        <v>0</v>
      </c>
      <c r="U265" s="124" t="n"/>
      <c r="V265" s="124" t="n"/>
      <c r="W265" s="125">
        <f t="array" ref="W265">SUM(I265:V265)</f>
        <v/>
      </c>
      <c r="X265" s="126" t="n">
        <v>0</v>
      </c>
      <c r="Y265" s="125">
        <f t="array" ref="Y265">W265+X265</f>
        <v/>
      </c>
      <c r="Z265" s="125">
        <f t="array" ref="Z265">G265-Y265</f>
        <v/>
      </c>
      <c r="AA265" s="121">
        <f t="array" ref="AA265">ROUND(W265*H265,2)</f>
        <v/>
      </c>
      <c r="AB265" s="127">
        <f t="array" ref="AB265">ROUND(X265*H265,2)</f>
        <v/>
      </c>
      <c r="AC265" s="121">
        <f t="array" ref="AC265">ROUND(AA265+AB265,2)</f>
        <v/>
      </c>
      <c r="AD265" s="127">
        <f t="array" ref="AD265">ROUND((G265*H265)-AC265,2)</f>
        <v/>
      </c>
      <c r="AE265" s="54">
        <f t="array" ref="AE265">_xlfn.IFERROR(ROUND(AC265/(G265*H265),2),0)</f>
        <v/>
      </c>
      <c r="AF265" s="7" t="n"/>
      <c r="AG265" s="7" t="n"/>
      <c r="AH265" s="7" t="n"/>
      <c r="AI265" s="7" t="n"/>
      <c r="AJ265" s="7" t="n"/>
      <c r="AK265" s="7" t="n"/>
      <c r="AL265" s="7" t="n"/>
    </row>
    <row r="266" ht="409.6" customHeight="1" s="104">
      <c r="A266" s="68" t="n">
        <v>3163</v>
      </c>
      <c r="B266" s="44" t="inlineStr">
        <is>
          <t>QUADRO DE COMANDO E PROTEÇÃO DE ILUMINAÇÃO PÚBLICA, TRIFÁSICO 30A, EM ALUMÍNIO, CONTENDO 1 DISJUNTOR TRIPOLAR 30A, 1 CONTATOR TRIPOLAR 30A, 1 CHAVE COMUTADORA DE 3 POSIÇÕES (MANUAL, DESLIGA, AUTOMÁTICO), 1 RELÊ FOTOELÉTRICO COM BASE, 1 CONJUNTO FUSÍVEL NEOZED 2A, 1 PLAQUETA DE IDENTIFICAÇÃO EM ALUMÍNIO  6 X 3 CM, E BARRAMENTOS</t>
        </is>
      </c>
      <c r="C266" s="44" t="inlineStr">
        <is>
          <t>PÇ</t>
        </is>
      </c>
      <c r="D266" s="45" t="n">
        <v>2</v>
      </c>
      <c r="E266" s="45" t="n"/>
      <c r="F266" s="45" t="n"/>
      <c r="G266" s="45">
        <f t="array" ref="G266">SUM(D266:F266)</f>
        <v/>
      </c>
      <c r="H266" s="121">
        <f t="array" ref="H266">VLOOKUP(A266,#REF!,5,0)</f>
        <v/>
      </c>
      <c r="I266" s="122" t="n">
        <v>0</v>
      </c>
      <c r="J266" s="123" t="n">
        <v>0</v>
      </c>
      <c r="K266" s="124" t="n">
        <v>0</v>
      </c>
      <c r="L266" s="123" t="n">
        <v>0</v>
      </c>
      <c r="M266" s="124" t="n">
        <v>0</v>
      </c>
      <c r="N266" s="124" t="n">
        <v>0</v>
      </c>
      <c r="O266" s="124" t="n">
        <v>0</v>
      </c>
      <c r="P266" s="124" t="n">
        <v>0</v>
      </c>
      <c r="Q266" s="124" t="n">
        <v>0</v>
      </c>
      <c r="R266" s="124" t="n">
        <v>0</v>
      </c>
      <c r="S266" s="124" t="n">
        <v>0</v>
      </c>
      <c r="T266" s="124" t="n">
        <v>0</v>
      </c>
      <c r="U266" s="124" t="n"/>
      <c r="V266" s="124" t="n"/>
      <c r="W266" s="125">
        <f t="array" ref="W266">SUM(I266:V266)</f>
        <v/>
      </c>
      <c r="X266" s="126" t="n">
        <v>0</v>
      </c>
      <c r="Y266" s="125">
        <f t="array" ref="Y266">W266+X266</f>
        <v/>
      </c>
      <c r="Z266" s="125">
        <f t="array" ref="Z266">G266-Y266</f>
        <v/>
      </c>
      <c r="AA266" s="121">
        <f t="array" ref="AA266">ROUND(W266*H266,2)</f>
        <v/>
      </c>
      <c r="AB266" s="127">
        <f t="array" ref="AB266">ROUND(X266*H266,2)</f>
        <v/>
      </c>
      <c r="AC266" s="121">
        <f t="array" ref="AC266">ROUND(AA266+AB266,2)</f>
        <v/>
      </c>
      <c r="AD266" s="127">
        <f t="array" ref="AD266">ROUND((G266*H266)-AC266,2)</f>
        <v/>
      </c>
      <c r="AE266" s="54">
        <f t="array" ref="AE266">_xlfn.IFERROR(ROUND(AC266/(G266*H266),2),0)</f>
        <v/>
      </c>
      <c r="AF266" s="7" t="n"/>
      <c r="AG266" s="7" t="n"/>
      <c r="AH266" s="7" t="n"/>
      <c r="AI266" s="7" t="n"/>
      <c r="AJ266" s="7" t="n"/>
      <c r="AK266" s="7" t="n"/>
      <c r="AL266" s="7" t="n"/>
    </row>
    <row r="267" ht="409.6" customHeight="1" s="104">
      <c r="A267" s="68" t="n">
        <v>3164</v>
      </c>
      <c r="B267" s="44" t="inlineStr">
        <is>
          <t>QUADRO DE COMANDO E PROTEÇÃO DE ILUMINAÇÃO PÚBLICA, TRIFÁSICO 50A, EM ALUMÍNIO, CONTENDO; 1 DISJUNTOR TRIPOLAR 50A, 1 CONTATOR TRIPOLAR 50A, 1 CHAVE COMUTADORA 3 POSIÇÕES (MANUAL, DESLIGA, AUTOMÁTICO), 1 RELÊ FOTOELÉTRICO, COM BASE, 1 CONJUNTO FUSÍVEL NEOZED 2A, 1 PLAQUETA DE IDENTIFICAÇÃO EM ALUMÍNIO  6 X 3 CM, E BARRAMENTOS</t>
        </is>
      </c>
      <c r="C267" s="44" t="inlineStr">
        <is>
          <t>PÇ</t>
        </is>
      </c>
      <c r="D267" s="45" t="n">
        <v>5</v>
      </c>
      <c r="E267" s="45" t="n"/>
      <c r="F267" s="45" t="n"/>
      <c r="G267" s="45">
        <f t="array" ref="G267">SUM(D267:F267)</f>
        <v/>
      </c>
      <c r="H267" s="121">
        <f t="array" ref="H267">VLOOKUP(A267,#REF!,5,0)</f>
        <v/>
      </c>
      <c r="I267" s="122" t="n">
        <v>0</v>
      </c>
      <c r="J267" s="123" t="n">
        <v>0</v>
      </c>
      <c r="K267" s="124" t="n">
        <v>0</v>
      </c>
      <c r="L267" s="123" t="n">
        <v>0</v>
      </c>
      <c r="M267" s="124" t="n">
        <v>0</v>
      </c>
      <c r="N267" s="124" t="n">
        <v>0</v>
      </c>
      <c r="O267" s="124" t="n">
        <v>0</v>
      </c>
      <c r="P267" s="124" t="n">
        <v>0</v>
      </c>
      <c r="Q267" s="124" t="n">
        <v>1</v>
      </c>
      <c r="R267" s="124" t="n">
        <v>0</v>
      </c>
      <c r="S267" s="124" t="n">
        <v>0</v>
      </c>
      <c r="T267" s="124" t="n">
        <v>0</v>
      </c>
      <c r="U267" s="124" t="n"/>
      <c r="V267" s="124" t="n"/>
      <c r="W267" s="125">
        <f t="array" ref="W267">SUM(I267:V267)</f>
        <v/>
      </c>
      <c r="X267" s="126" t="n">
        <v>0</v>
      </c>
      <c r="Y267" s="125">
        <f t="array" ref="Y267">W267+X267</f>
        <v/>
      </c>
      <c r="Z267" s="125">
        <f t="array" ref="Z267">G267-Y267</f>
        <v/>
      </c>
      <c r="AA267" s="121">
        <f t="array" ref="AA267">ROUND(W267*H267,2)</f>
        <v/>
      </c>
      <c r="AB267" s="127">
        <f t="array" ref="AB267">ROUND(X267*H267,2)</f>
        <v/>
      </c>
      <c r="AC267" s="121">
        <f t="array" ref="AC267">ROUND(AA267+AB267,2)</f>
        <v/>
      </c>
      <c r="AD267" s="127">
        <f t="array" ref="AD267">ROUND((G267*H267)-AC267,2)</f>
        <v/>
      </c>
      <c r="AE267" s="54">
        <f t="array" ref="AE267">_xlfn.IFERROR(ROUND(AC267/(G267*H267),2),0)</f>
        <v/>
      </c>
      <c r="AF267" s="7" t="n"/>
      <c r="AG267" s="7" t="n"/>
      <c r="AH267" s="7" t="n"/>
      <c r="AI267" s="7" t="n"/>
      <c r="AJ267" s="7" t="n"/>
      <c r="AK267" s="7" t="n"/>
      <c r="AL267" s="7" t="n"/>
    </row>
    <row r="268" ht="409.6" customHeight="1" s="104">
      <c r="A268" s="68" t="n">
        <v>3165</v>
      </c>
      <c r="B268" s="44" t="inlineStr">
        <is>
          <t>QUADRO DE COMANDO E PROTEÇÃO DE ILUMINAÇÃO PÚBLICA, TRIFÁSICO 70A, EM ALUMÍNIO, CONTENDO; 1 DISJUNTOR TRIPOLAR 70A, 1 CONTATOR TRIPOLAR 70A, 1 CHAVE COMUTADORA 3 POSIÇÕES (MANUAL, DESLIGA, AUTOMÁTICO), 1 RELÊ FOTOELÉTRICO, COM BASE, 1 CONJUNTO FUSÍVEL NEOZED 2A, 1 PLAQUETA DE IDENTIFICAÇÃO, 6 X 3 CM, EM ALUMÍNIO E BARRAMENTOS</t>
        </is>
      </c>
      <c r="C268" s="44" t="inlineStr">
        <is>
          <t>PÇ</t>
        </is>
      </c>
      <c r="D268" s="45" t="n">
        <v>2</v>
      </c>
      <c r="E268" s="45" t="n"/>
      <c r="F268" s="45" t="n"/>
      <c r="G268" s="45">
        <f t="array" ref="G268">SUM(D268:F268)</f>
        <v/>
      </c>
      <c r="H268" s="121">
        <f t="array" ref="H268">VLOOKUP(A268,#REF!,5,0)</f>
        <v/>
      </c>
      <c r="I268" s="122" t="n">
        <v>0</v>
      </c>
      <c r="J268" s="123" t="n">
        <v>1</v>
      </c>
      <c r="K268" s="124" t="n">
        <v>0</v>
      </c>
      <c r="L268" s="123" t="n">
        <v>0</v>
      </c>
      <c r="M268" s="124" t="n">
        <v>1</v>
      </c>
      <c r="N268" s="124" t="n">
        <v>0</v>
      </c>
      <c r="O268" s="124" t="n">
        <v>0</v>
      </c>
      <c r="P268" s="124" t="n">
        <v>0</v>
      </c>
      <c r="Q268" s="124" t="n">
        <v>0</v>
      </c>
      <c r="R268" s="124" t="n">
        <v>0</v>
      </c>
      <c r="S268" s="124" t="n">
        <v>0</v>
      </c>
      <c r="T268" s="124" t="n">
        <v>0</v>
      </c>
      <c r="U268" s="124" t="n"/>
      <c r="V268" s="124" t="n"/>
      <c r="W268" s="125">
        <f t="array" ref="W268">SUM(I268:V268)</f>
        <v/>
      </c>
      <c r="X268" s="126" t="n">
        <v>0</v>
      </c>
      <c r="Y268" s="125">
        <f t="array" ref="Y268">W268+X268</f>
        <v/>
      </c>
      <c r="Z268" s="125">
        <f t="array" ref="Z268">G268-Y268</f>
        <v/>
      </c>
      <c r="AA268" s="121">
        <f t="array" ref="AA268">ROUND(W268*H268,2)</f>
        <v/>
      </c>
      <c r="AB268" s="127">
        <f t="array" ref="AB268">ROUND(X268*H268,2)</f>
        <v/>
      </c>
      <c r="AC268" s="121">
        <f t="array" ref="AC268">ROUND(AA268+AB268,2)</f>
        <v/>
      </c>
      <c r="AD268" s="127">
        <f t="array" ref="AD268">ROUND((G268*H268)-AC268,2)</f>
        <v/>
      </c>
      <c r="AE268" s="54">
        <f t="array" ref="AE268">_xlfn.IFERROR(ROUND(AC268/(G268*H268),2),0)</f>
        <v/>
      </c>
      <c r="AF268" s="7" t="n"/>
      <c r="AG268" s="7" t="n"/>
      <c r="AH268" s="7" t="n"/>
      <c r="AI268" s="7" t="n"/>
      <c r="AJ268" s="7" t="n"/>
      <c r="AK268" s="7" t="n"/>
      <c r="AL268" s="7" t="n"/>
    </row>
    <row r="269" ht="409.6" customHeight="1" s="104">
      <c r="A269" s="68" t="n">
        <v>3166</v>
      </c>
      <c r="B269" s="44" t="inlineStr">
        <is>
          <t>QUADRO DE DISTRIBUIÇÃO, EM CHAPA DE AÇO GALVANIZADO ELETROLITICAMENTE OU EM MATERIAL TERMOPLÁSTICO AUTO EXTINGUÍVEL, COM PORTA, DE SOBREPOR OU DE EMBUTIR, COM BARRAMENTO TRIFÁSICO DE COBRE ELETROLÍTICO DE CAPACIDADE ATÉ 100A, ACABAMENTO COM PINTURA EM EPÓXI, COM SUPORTE PARA ATÉ 16 DISJUNTORES MONOPOLARES E UM TRIPOLAR, DIN, DISTÂNCIA ENTRE DISJUNTORES 18MM E DOIS BARRAMENTOS EM COBRE COM, 7 FUROS, PARA O NEUTRO E TERRA, INCLUSO ISOLADORES E PARAFUSOS, NÃO INCLUSO OS DISJUNTORES</t>
        </is>
      </c>
      <c r="C269" s="44" t="inlineStr">
        <is>
          <t>PÇ</t>
        </is>
      </c>
      <c r="D269" s="45" t="n">
        <v>2</v>
      </c>
      <c r="E269" s="45" t="n"/>
      <c r="F269" s="45" t="n"/>
      <c r="G269" s="45">
        <f t="array" ref="G269">SUM(D269:F269)</f>
        <v/>
      </c>
      <c r="H269" s="121">
        <f t="array" ref="H269">VLOOKUP(A269,#REF!,5,0)</f>
        <v/>
      </c>
      <c r="I269" s="122" t="n">
        <v>0</v>
      </c>
      <c r="J269" s="123" t="n">
        <v>2</v>
      </c>
      <c r="K269" s="124" t="n">
        <v>0</v>
      </c>
      <c r="L269" s="123" t="n">
        <v>0</v>
      </c>
      <c r="M269" s="124" t="n">
        <v>0</v>
      </c>
      <c r="N269" s="124" t="n">
        <v>0</v>
      </c>
      <c r="O269" s="124" t="n">
        <v>0</v>
      </c>
      <c r="P269" s="124" t="n">
        <v>0</v>
      </c>
      <c r="Q269" s="124" t="n">
        <v>0</v>
      </c>
      <c r="R269" s="124" t="n">
        <v>0</v>
      </c>
      <c r="S269" s="124" t="n">
        <v>0</v>
      </c>
      <c r="T269" s="124" t="n">
        <v>0</v>
      </c>
      <c r="U269" s="124" t="n"/>
      <c r="V269" s="124" t="n"/>
      <c r="W269" s="125">
        <f t="array" ref="W269">SUM(I269:V269)</f>
        <v/>
      </c>
      <c r="X269" s="126" t="n">
        <v>0</v>
      </c>
      <c r="Y269" s="125">
        <f t="array" ref="Y269">W269+X269</f>
        <v/>
      </c>
      <c r="Z269" s="125">
        <f t="array" ref="Z269">G269-Y269</f>
        <v/>
      </c>
      <c r="AA269" s="121">
        <f t="array" ref="AA269">ROUND(W269*H269,2)</f>
        <v/>
      </c>
      <c r="AB269" s="127">
        <f t="array" ref="AB269">ROUND(X269*H269,2)</f>
        <v/>
      </c>
      <c r="AC269" s="121">
        <f t="array" ref="AC269">ROUND(AA269+AB269,2)</f>
        <v/>
      </c>
      <c r="AD269" s="127">
        <f t="array" ref="AD269">ROUND((G269*H269)-AC269,2)</f>
        <v/>
      </c>
      <c r="AE269" s="54">
        <f t="array" ref="AE269">_xlfn.IFERROR(ROUND(AC269/(G269*H269),2),0)</f>
        <v/>
      </c>
      <c r="AF269" s="7" t="n"/>
      <c r="AG269" s="7" t="n"/>
      <c r="AH269" s="7" t="n"/>
      <c r="AI269" s="7" t="n"/>
      <c r="AJ269" s="7" t="n"/>
      <c r="AK269" s="7" t="n"/>
      <c r="AL269" s="7" t="n"/>
    </row>
    <row r="270" ht="266.4" customHeight="1" s="104">
      <c r="A270" s="68" t="n">
        <v>3167</v>
      </c>
      <c r="B270" s="44" t="inlineStr">
        <is>
          <t>REATOR EXTERNO PARA LÂMPADA VAPOR DE SÓDIO 150W, 220V, 60HZ, FATOR DE POTÊNCIA 0,92 (MÍN.), COM IGNITOR TEMPORÁRIO,  GALVANIZADO À FOGO, PERDA MÁXIMA DE 18W</t>
        </is>
      </c>
      <c r="C270" s="44" t="inlineStr">
        <is>
          <t>PÇ</t>
        </is>
      </c>
      <c r="D270" s="45" t="n">
        <v>90</v>
      </c>
      <c r="E270" s="45" t="n"/>
      <c r="F270" s="45" t="n"/>
      <c r="G270" s="45">
        <f t="array" ref="G270">SUM(D270:F270)</f>
        <v/>
      </c>
      <c r="H270" s="121">
        <f t="array" ref="H270">VLOOKUP(A270,#REF!,5,0)</f>
        <v/>
      </c>
      <c r="I270" s="122" t="n">
        <v>0</v>
      </c>
      <c r="J270" s="123" t="n">
        <v>0</v>
      </c>
      <c r="K270" s="124" t="n">
        <v>0</v>
      </c>
      <c r="L270" s="123" t="n">
        <v>0</v>
      </c>
      <c r="M270" s="124" t="n">
        <v>0</v>
      </c>
      <c r="N270" s="124" t="n">
        <v>0</v>
      </c>
      <c r="O270" s="124" t="n">
        <v>0</v>
      </c>
      <c r="P270" s="124" t="n">
        <v>0</v>
      </c>
      <c r="Q270" s="124" t="n">
        <v>0</v>
      </c>
      <c r="R270" s="124" t="n">
        <v>0</v>
      </c>
      <c r="S270" s="124" t="n">
        <v>0</v>
      </c>
      <c r="T270" s="124" t="n">
        <v>0</v>
      </c>
      <c r="U270" s="124" t="n"/>
      <c r="V270" s="124" t="n"/>
      <c r="W270" s="125">
        <f t="array" ref="W270">SUM(I270:V270)</f>
        <v/>
      </c>
      <c r="X270" s="126" t="n">
        <v>0</v>
      </c>
      <c r="Y270" s="125">
        <f t="array" ref="Y270">W270+X270</f>
        <v/>
      </c>
      <c r="Z270" s="125">
        <f t="array" ref="Z270">G270-Y270</f>
        <v/>
      </c>
      <c r="AA270" s="121">
        <f t="array" ref="AA270">ROUND(W270*H270,2)</f>
        <v/>
      </c>
      <c r="AB270" s="127">
        <f t="array" ref="AB270">ROUND(X270*H270,2)</f>
        <v/>
      </c>
      <c r="AC270" s="121">
        <f t="array" ref="AC270">ROUND(AA270+AB270,2)</f>
        <v/>
      </c>
      <c r="AD270" s="127">
        <f t="array" ref="AD270">ROUND((G270*H270)-AC270,2)</f>
        <v/>
      </c>
      <c r="AE270" s="54">
        <f t="array" ref="AE270">_xlfn.IFERROR(ROUND(AC270/(G270*H270),2),0)</f>
        <v/>
      </c>
      <c r="AF270" s="7" t="n"/>
      <c r="AG270" s="7" t="n"/>
      <c r="AH270" s="7" t="n"/>
      <c r="AI270" s="7" t="n"/>
      <c r="AJ270" s="7" t="n"/>
      <c r="AK270" s="7" t="n"/>
      <c r="AL270" s="7" t="n"/>
    </row>
    <row r="271" ht="266.4" customHeight="1" s="104">
      <c r="A271" s="68" t="n">
        <v>3168</v>
      </c>
      <c r="B271" s="44" t="inlineStr">
        <is>
          <t>REATOR EXTERNO PARA LÂMPADA VAPOR DE SÓDIO 250W, 220V, 60HZ, FATOR DE POTÊNCIA 0,92 (MÍN.), COM IGNITOR TEMPORÁRIO,  GALVANIZADO À FOGO, PERDA MÁXIMA DE 24W</t>
        </is>
      </c>
      <c r="C271" s="44" t="inlineStr">
        <is>
          <t>PÇ</t>
        </is>
      </c>
      <c r="D271" s="45" t="n">
        <v>50</v>
      </c>
      <c r="E271" s="45" t="n"/>
      <c r="F271" s="45" t="n"/>
      <c r="G271" s="45">
        <f t="array" ref="G271">SUM(D271:F271)</f>
        <v/>
      </c>
      <c r="H271" s="121">
        <f t="array" ref="H271">VLOOKUP(A271,#REF!,5,0)</f>
        <v/>
      </c>
      <c r="I271" s="122" t="n">
        <v>0</v>
      </c>
      <c r="J271" s="123" t="n">
        <v>0</v>
      </c>
      <c r="K271" s="124" t="n">
        <v>0</v>
      </c>
      <c r="L271" s="123" t="n">
        <v>0</v>
      </c>
      <c r="M271" s="124" t="n">
        <v>0</v>
      </c>
      <c r="N271" s="124" t="n">
        <v>0</v>
      </c>
      <c r="O271" s="124" t="n">
        <v>0</v>
      </c>
      <c r="P271" s="124" t="n">
        <v>0</v>
      </c>
      <c r="Q271" s="124" t="n">
        <v>0</v>
      </c>
      <c r="R271" s="124" t="n">
        <v>0</v>
      </c>
      <c r="S271" s="124" t="n">
        <v>0</v>
      </c>
      <c r="T271" s="124" t="n">
        <v>0</v>
      </c>
      <c r="U271" s="124" t="n"/>
      <c r="V271" s="124" t="n"/>
      <c r="W271" s="125">
        <f t="array" ref="W271">SUM(I271:V271)</f>
        <v/>
      </c>
      <c r="X271" s="126" t="n">
        <v>0</v>
      </c>
      <c r="Y271" s="125">
        <f t="array" ref="Y271">W271+X271</f>
        <v/>
      </c>
      <c r="Z271" s="125">
        <f t="array" ref="Z271">G271-Y271</f>
        <v/>
      </c>
      <c r="AA271" s="121">
        <f t="array" ref="AA271">ROUND(W271*H271,2)</f>
        <v/>
      </c>
      <c r="AB271" s="127">
        <f t="array" ref="AB271">ROUND(X271*H271,2)</f>
        <v/>
      </c>
      <c r="AC271" s="121">
        <f t="array" ref="AC271">ROUND(AA271+AB271,2)</f>
        <v/>
      </c>
      <c r="AD271" s="127">
        <f t="array" ref="AD271">ROUND((G271*H271)-AC271,2)</f>
        <v/>
      </c>
      <c r="AE271" s="54">
        <f t="array" ref="AE271">_xlfn.IFERROR(ROUND(AC271/(G271*H271),2),0)</f>
        <v/>
      </c>
      <c r="AF271" s="7" t="n"/>
      <c r="AG271" s="7" t="n"/>
      <c r="AH271" s="7" t="n"/>
      <c r="AI271" s="7" t="n"/>
      <c r="AJ271" s="7" t="n"/>
      <c r="AK271" s="7" t="n"/>
      <c r="AL271" s="7" t="n"/>
    </row>
    <row r="272" ht="266.4" customHeight="1" s="104">
      <c r="A272" s="68" t="n">
        <v>3169</v>
      </c>
      <c r="B272" s="44" t="inlineStr">
        <is>
          <t>REATOR EXTERNO PARA LÂMPADA VAPOR DE SÓDIO 400W, 220V, 60HZ, FATOR DE POTÊNCIA 0,92 (MÍN.), COM IGNITOR TEMPORÁRIO,  GALVANIZADO À FOGO, PERDA MÁXIMA DE 32W</t>
        </is>
      </c>
      <c r="C272" s="44" t="inlineStr">
        <is>
          <t>PÇ</t>
        </is>
      </c>
      <c r="D272" s="45" t="n">
        <v>22</v>
      </c>
      <c r="E272" s="45" t="n"/>
      <c r="F272" s="45" t="n"/>
      <c r="G272" s="45">
        <f t="array" ref="G272">SUM(D272:F272)</f>
        <v/>
      </c>
      <c r="H272" s="121">
        <f t="array" ref="H272">VLOOKUP(A272,#REF!,5,0)</f>
        <v/>
      </c>
      <c r="I272" s="122" t="n">
        <v>0</v>
      </c>
      <c r="J272" s="123" t="n">
        <v>0</v>
      </c>
      <c r="K272" s="124" t="n">
        <v>0</v>
      </c>
      <c r="L272" s="123" t="n">
        <v>0</v>
      </c>
      <c r="M272" s="124" t="n">
        <v>0</v>
      </c>
      <c r="N272" s="124" t="n">
        <v>0</v>
      </c>
      <c r="O272" s="124" t="n">
        <v>0</v>
      </c>
      <c r="P272" s="124" t="n">
        <v>0</v>
      </c>
      <c r="Q272" s="124" t="n">
        <v>0</v>
      </c>
      <c r="R272" s="124" t="n">
        <v>0</v>
      </c>
      <c r="S272" s="124" t="n">
        <v>0</v>
      </c>
      <c r="T272" s="124" t="n">
        <v>0</v>
      </c>
      <c r="U272" s="124" t="n"/>
      <c r="V272" s="124" t="n"/>
      <c r="W272" s="125">
        <f t="array" ref="W272">SUM(I272:V272)</f>
        <v/>
      </c>
      <c r="X272" s="126" t="n">
        <v>0</v>
      </c>
      <c r="Y272" s="125">
        <f t="array" ref="Y272">W272+X272</f>
        <v/>
      </c>
      <c r="Z272" s="125">
        <f t="array" ref="Z272">G272-Y272</f>
        <v/>
      </c>
      <c r="AA272" s="121">
        <f t="array" ref="AA272">ROUND(W272*H272,2)</f>
        <v/>
      </c>
      <c r="AB272" s="127">
        <f t="array" ref="AB272">ROUND(X272*H272,2)</f>
        <v/>
      </c>
      <c r="AC272" s="121">
        <f t="array" ref="AC272">ROUND(AA272+AB272,2)</f>
        <v/>
      </c>
      <c r="AD272" s="127">
        <f t="array" ref="AD272">ROUND((G272*H272)-AC272,2)</f>
        <v/>
      </c>
      <c r="AE272" s="54">
        <f t="array" ref="AE272">_xlfn.IFERROR(ROUND(AC272/(G272*H272),2),0)</f>
        <v/>
      </c>
      <c r="AF272" s="7" t="n"/>
      <c r="AG272" s="7" t="n"/>
      <c r="AH272" s="7" t="n"/>
      <c r="AI272" s="7" t="n"/>
      <c r="AJ272" s="7" t="n"/>
      <c r="AK272" s="7" t="n"/>
      <c r="AL272" s="7" t="n"/>
    </row>
    <row r="273" ht="266.4" customHeight="1" s="104">
      <c r="A273" s="68" t="n">
        <v>3170</v>
      </c>
      <c r="B273" s="44" t="inlineStr">
        <is>
          <t>REATOR EXTERNO PARA LÂMPADA VAPOR DE SÓDIO 70W, 220V, 60HZ, FATOR DE POTÊNCIA 0,92 (MÍN.), COM IGNITOR TEMPORÁRIO, GALVANIZADO À FOGO, PERDA MÁXIMA DE 12W</t>
        </is>
      </c>
      <c r="C273" s="44" t="inlineStr">
        <is>
          <t>PÇ</t>
        </is>
      </c>
      <c r="D273" s="45" t="n">
        <v>1000</v>
      </c>
      <c r="E273" s="45" t="n"/>
      <c r="F273" s="45" t="n"/>
      <c r="G273" s="45">
        <f t="array" ref="G273">SUM(D273:F273)</f>
        <v/>
      </c>
      <c r="H273" s="121">
        <f t="array" ref="H273">VLOOKUP(A273,#REF!,5,0)</f>
        <v/>
      </c>
      <c r="I273" s="122" t="n">
        <v>0</v>
      </c>
      <c r="J273" s="123" t="n">
        <v>0</v>
      </c>
      <c r="K273" s="124" t="n">
        <v>0</v>
      </c>
      <c r="L273" s="123" t="n">
        <v>0</v>
      </c>
      <c r="M273" s="124" t="n">
        <v>0</v>
      </c>
      <c r="N273" s="124" t="n">
        <v>0</v>
      </c>
      <c r="O273" s="124" t="n">
        <v>0</v>
      </c>
      <c r="P273" s="124" t="n">
        <v>0</v>
      </c>
      <c r="Q273" s="124" t="n">
        <v>0</v>
      </c>
      <c r="R273" s="124" t="n">
        <v>0</v>
      </c>
      <c r="S273" s="124" t="n">
        <v>0</v>
      </c>
      <c r="T273" s="124" t="n">
        <v>0</v>
      </c>
      <c r="U273" s="124" t="n"/>
      <c r="V273" s="124" t="n"/>
      <c r="W273" s="125">
        <f t="array" ref="W273">SUM(I273:V273)</f>
        <v/>
      </c>
      <c r="X273" s="126" t="n">
        <v>0</v>
      </c>
      <c r="Y273" s="125">
        <f t="array" ref="Y273">W273+X273</f>
        <v/>
      </c>
      <c r="Z273" s="125">
        <f t="array" ref="Z273">G273-Y273</f>
        <v/>
      </c>
      <c r="AA273" s="121">
        <f t="array" ref="AA273">ROUND(W273*H273,2)</f>
        <v/>
      </c>
      <c r="AB273" s="127">
        <f t="array" ref="AB273">ROUND(X273*H273,2)</f>
        <v/>
      </c>
      <c r="AC273" s="121">
        <f t="array" ref="AC273">ROUND(AA273+AB273,2)</f>
        <v/>
      </c>
      <c r="AD273" s="127">
        <f t="array" ref="AD273">ROUND((G273*H273)-AC273,2)</f>
        <v/>
      </c>
      <c r="AE273" s="54">
        <f t="array" ref="AE273">_xlfn.IFERROR(ROUND(AC273/(G273*H273),2),0)</f>
        <v/>
      </c>
      <c r="AF273" s="7" t="n"/>
      <c r="AG273" s="7" t="n"/>
      <c r="AH273" s="7" t="n"/>
      <c r="AI273" s="7" t="n"/>
      <c r="AJ273" s="7" t="n"/>
      <c r="AK273" s="7" t="n"/>
      <c r="AL273" s="7" t="n"/>
    </row>
    <row r="274" ht="199.8" customHeight="1" s="104">
      <c r="A274" s="68" t="n">
        <v>3171</v>
      </c>
      <c r="B274" s="44" t="inlineStr">
        <is>
          <t>REATOR INTERNO PARA LÂMPADA VAPOR DE SÓDIO 100W, 220V, 60HZ, FATOR DE POTÊNCIA 0,92 (MÍN.), COM IGNITOR, PERDA MÁXIMA 14W</t>
        </is>
      </c>
      <c r="C274" s="44" t="inlineStr">
        <is>
          <t>PÇ</t>
        </is>
      </c>
      <c r="D274" s="45" t="n">
        <v>25</v>
      </c>
      <c r="E274" s="45" t="n"/>
      <c r="F274" s="45" t="n"/>
      <c r="G274" s="45">
        <f t="array" ref="G274">SUM(D274:F274)</f>
        <v/>
      </c>
      <c r="H274" s="121">
        <f t="array" ref="H274">VLOOKUP(A274,#REF!,5,0)</f>
        <v/>
      </c>
      <c r="I274" s="122" t="n">
        <v>0</v>
      </c>
      <c r="J274" s="123" t="n">
        <v>0</v>
      </c>
      <c r="K274" s="124" t="n">
        <v>0</v>
      </c>
      <c r="L274" s="123" t="n">
        <v>0</v>
      </c>
      <c r="M274" s="124" t="n">
        <v>0</v>
      </c>
      <c r="N274" s="124" t="n">
        <v>0</v>
      </c>
      <c r="O274" s="124" t="n">
        <v>0</v>
      </c>
      <c r="P274" s="124" t="n">
        <v>0</v>
      </c>
      <c r="Q274" s="124" t="n">
        <v>0</v>
      </c>
      <c r="R274" s="124" t="n">
        <v>0</v>
      </c>
      <c r="S274" s="124" t="n">
        <v>0</v>
      </c>
      <c r="T274" s="124" t="n">
        <v>0</v>
      </c>
      <c r="U274" s="124" t="n"/>
      <c r="V274" s="124" t="n"/>
      <c r="W274" s="125">
        <f t="array" ref="W274">SUM(I274:V274)</f>
        <v/>
      </c>
      <c r="X274" s="126" t="n">
        <v>0</v>
      </c>
      <c r="Y274" s="125">
        <f t="array" ref="Y274">W274+X274</f>
        <v/>
      </c>
      <c r="Z274" s="125">
        <f t="array" ref="Z274">G274-Y274</f>
        <v/>
      </c>
      <c r="AA274" s="121">
        <f t="array" ref="AA274">ROUND(W274*H274,2)</f>
        <v/>
      </c>
      <c r="AB274" s="127">
        <f t="array" ref="AB274">ROUND(X274*H274,2)</f>
        <v/>
      </c>
      <c r="AC274" s="121">
        <f t="array" ref="AC274">ROUND(AA274+AB274,2)</f>
        <v/>
      </c>
      <c r="AD274" s="127">
        <f t="array" ref="AD274">ROUND((G274*H274)-AC274,2)</f>
        <v/>
      </c>
      <c r="AE274" s="54">
        <f t="array" ref="AE274">_xlfn.IFERROR(ROUND(AC274/(G274*H274),2),0)</f>
        <v/>
      </c>
      <c r="AF274" s="7" t="n"/>
      <c r="AG274" s="7" t="n"/>
      <c r="AH274" s="7" t="n"/>
      <c r="AI274" s="7" t="n"/>
      <c r="AJ274" s="7" t="n"/>
      <c r="AK274" s="7" t="n"/>
      <c r="AL274" s="7" t="n"/>
    </row>
    <row r="275" ht="199.8" customHeight="1" s="104">
      <c r="A275" s="68" t="n">
        <v>3172</v>
      </c>
      <c r="B275" s="44" t="inlineStr">
        <is>
          <t>REATOR INTERNO PARA LÂMPADA VAPOR DE SÓDIO 150W, 220V, 60HZ, FATOR DE POTÊNCIA 0,92 (MÍN.), COM IGNITOR INCORPORADO, PERDA MÁXIMA 18W</t>
        </is>
      </c>
      <c r="C275" s="44" t="inlineStr">
        <is>
          <t>PÇ</t>
        </is>
      </c>
      <c r="D275" s="45" t="n">
        <v>10</v>
      </c>
      <c r="E275" s="45" t="n"/>
      <c r="F275" s="45" t="n"/>
      <c r="G275" s="45">
        <f t="array" ref="G275">SUM(D275:F275)</f>
        <v/>
      </c>
      <c r="H275" s="121">
        <f t="array" ref="H275">VLOOKUP(A275,#REF!,5,0)</f>
        <v/>
      </c>
      <c r="I275" s="122" t="n">
        <v>0</v>
      </c>
      <c r="J275" s="123" t="n">
        <v>0</v>
      </c>
      <c r="K275" s="124" t="n">
        <v>0</v>
      </c>
      <c r="L275" s="123" t="n">
        <v>0</v>
      </c>
      <c r="M275" s="124" t="n">
        <v>0</v>
      </c>
      <c r="N275" s="124" t="n">
        <v>0</v>
      </c>
      <c r="O275" s="124" t="n">
        <v>0</v>
      </c>
      <c r="P275" s="124" t="n">
        <v>0</v>
      </c>
      <c r="Q275" s="124" t="n">
        <v>0</v>
      </c>
      <c r="R275" s="124" t="n">
        <v>0</v>
      </c>
      <c r="S275" s="124" t="n">
        <v>0</v>
      </c>
      <c r="T275" s="124" t="n">
        <v>0</v>
      </c>
      <c r="U275" s="124" t="n"/>
      <c r="V275" s="124" t="n"/>
      <c r="W275" s="125">
        <f t="array" ref="W275">SUM(I275:V275)</f>
        <v/>
      </c>
      <c r="X275" s="126" t="n">
        <v>0</v>
      </c>
      <c r="Y275" s="125">
        <f t="array" ref="Y275">W275+X275</f>
        <v/>
      </c>
      <c r="Z275" s="125">
        <f t="array" ref="Z275">G275-Y275</f>
        <v/>
      </c>
      <c r="AA275" s="121">
        <f t="array" ref="AA275">ROUND(W275*H275,2)</f>
        <v/>
      </c>
      <c r="AB275" s="127">
        <f t="array" ref="AB275">ROUND(X275*H275,2)</f>
        <v/>
      </c>
      <c r="AC275" s="121">
        <f t="array" ref="AC275">ROUND(AA275+AB275,2)</f>
        <v/>
      </c>
      <c r="AD275" s="127">
        <f t="array" ref="AD275">ROUND((G275*H275)-AC275,2)</f>
        <v/>
      </c>
      <c r="AE275" s="54">
        <f t="array" ref="AE275">_xlfn.IFERROR(ROUND(AC275/(G275*H275),2),0)</f>
        <v/>
      </c>
      <c r="AF275" s="7" t="n"/>
      <c r="AG275" s="7" t="n"/>
      <c r="AH275" s="7" t="n"/>
      <c r="AI275" s="7" t="n"/>
      <c r="AJ275" s="7" t="n"/>
      <c r="AK275" s="7" t="n"/>
      <c r="AL275" s="7" t="n"/>
    </row>
    <row r="276" ht="199.8" customHeight="1" s="104">
      <c r="A276" s="68" t="n">
        <v>3173</v>
      </c>
      <c r="B276" s="44" t="inlineStr">
        <is>
          <t>REATOR INTERNO PARA LÂMPADA VAPOR DE SÓDIO 250W, 220V, 60HZ, FATOR DE POTÊNCIA 0,92 (MÍN.), COM IGNITOR INCORPORADO, PERDA MÁXIMA 24W</t>
        </is>
      </c>
      <c r="C276" s="44" t="inlineStr">
        <is>
          <t>PÇ</t>
        </is>
      </c>
      <c r="D276" s="45" t="n">
        <v>6</v>
      </c>
      <c r="E276" s="45" t="n"/>
      <c r="F276" s="45" t="n"/>
      <c r="G276" s="45">
        <f t="array" ref="G276">SUM(D276:F276)</f>
        <v/>
      </c>
      <c r="H276" s="121">
        <f t="array" ref="H276">VLOOKUP(A276,#REF!,5,0)</f>
        <v/>
      </c>
      <c r="I276" s="122" t="n">
        <v>0</v>
      </c>
      <c r="J276" s="123" t="n">
        <v>0</v>
      </c>
      <c r="K276" s="124" t="n">
        <v>0</v>
      </c>
      <c r="L276" s="123" t="n">
        <v>0</v>
      </c>
      <c r="M276" s="124" t="n">
        <v>0</v>
      </c>
      <c r="N276" s="124" t="n">
        <v>0</v>
      </c>
      <c r="O276" s="124" t="n">
        <v>0</v>
      </c>
      <c r="P276" s="124" t="n">
        <v>0</v>
      </c>
      <c r="Q276" s="124" t="n">
        <v>0</v>
      </c>
      <c r="R276" s="124" t="n">
        <v>0</v>
      </c>
      <c r="S276" s="124" t="n">
        <v>0</v>
      </c>
      <c r="T276" s="124" t="n">
        <v>0</v>
      </c>
      <c r="U276" s="124" t="n"/>
      <c r="V276" s="124" t="n"/>
      <c r="W276" s="125">
        <f t="array" ref="W276">SUM(I276:V276)</f>
        <v/>
      </c>
      <c r="X276" s="126" t="n">
        <v>0</v>
      </c>
      <c r="Y276" s="125">
        <f t="array" ref="Y276">W276+X276</f>
        <v/>
      </c>
      <c r="Z276" s="125">
        <f t="array" ref="Z276">G276-Y276</f>
        <v/>
      </c>
      <c r="AA276" s="121">
        <f t="array" ref="AA276">ROUND(W276*H276,2)</f>
        <v/>
      </c>
      <c r="AB276" s="127">
        <f t="array" ref="AB276">ROUND(X276*H276,2)</f>
        <v/>
      </c>
      <c r="AC276" s="121">
        <f t="array" ref="AC276">ROUND(AA276+AB276,2)</f>
        <v/>
      </c>
      <c r="AD276" s="127">
        <f t="array" ref="AD276">ROUND((G276*H276)-AC276,2)</f>
        <v/>
      </c>
      <c r="AE276" s="54">
        <f t="array" ref="AE276">_xlfn.IFERROR(ROUND(AC276/(G276*H276),2),0)</f>
        <v/>
      </c>
      <c r="AF276" s="7" t="n"/>
      <c r="AG276" s="7" t="n"/>
      <c r="AH276" s="7" t="n"/>
      <c r="AI276" s="7" t="n"/>
      <c r="AJ276" s="7" t="n"/>
      <c r="AK276" s="7" t="n"/>
      <c r="AL276" s="7" t="n"/>
    </row>
    <row r="277" ht="199.8" customHeight="1" s="104">
      <c r="A277" s="68" t="n">
        <v>3174</v>
      </c>
      <c r="B277" s="44" t="inlineStr">
        <is>
          <t>REATOR INTERNO PARA LÂMPADA VAPOR DE SÓDIO 400W, 220V, 60HZ, FATOR DE POTÊNCIA 0,92 (MÍN.), COM IGNITOR INCORPORADO, PERDA MÁXIMA 32W</t>
        </is>
      </c>
      <c r="C277" s="44" t="inlineStr">
        <is>
          <t>PÇ</t>
        </is>
      </c>
      <c r="D277" s="45" t="n">
        <v>6</v>
      </c>
      <c r="E277" s="45" t="n"/>
      <c r="F277" s="45" t="n"/>
      <c r="G277" s="45">
        <f t="array" ref="G277">SUM(D277:F277)</f>
        <v/>
      </c>
      <c r="H277" s="121">
        <f t="array" ref="H277">VLOOKUP(A277,#REF!,5,0)</f>
        <v/>
      </c>
      <c r="I277" s="122" t="n">
        <v>0</v>
      </c>
      <c r="J277" s="123" t="n">
        <v>0</v>
      </c>
      <c r="K277" s="124" t="n">
        <v>0</v>
      </c>
      <c r="L277" s="123" t="n">
        <v>0</v>
      </c>
      <c r="M277" s="124" t="n">
        <v>0</v>
      </c>
      <c r="N277" s="124" t="n">
        <v>0</v>
      </c>
      <c r="O277" s="124" t="n">
        <v>0</v>
      </c>
      <c r="P277" s="124" t="n">
        <v>0</v>
      </c>
      <c r="Q277" s="124" t="n">
        <v>0</v>
      </c>
      <c r="R277" s="124" t="n">
        <v>0</v>
      </c>
      <c r="S277" s="124" t="n">
        <v>0</v>
      </c>
      <c r="T277" s="124" t="n">
        <v>0</v>
      </c>
      <c r="U277" s="124" t="n"/>
      <c r="V277" s="124" t="n"/>
      <c r="W277" s="125">
        <f t="array" ref="W277">SUM(I277:V277)</f>
        <v/>
      </c>
      <c r="X277" s="126" t="n">
        <v>0</v>
      </c>
      <c r="Y277" s="125">
        <f t="array" ref="Y277">W277+X277</f>
        <v/>
      </c>
      <c r="Z277" s="125">
        <f t="array" ref="Z277">G277-Y277</f>
        <v/>
      </c>
      <c r="AA277" s="121">
        <f t="array" ref="AA277">ROUND(W277*H277,2)</f>
        <v/>
      </c>
      <c r="AB277" s="127">
        <f t="array" ref="AB277">ROUND(X277*H277,2)</f>
        <v/>
      </c>
      <c r="AC277" s="121">
        <f t="array" ref="AC277">ROUND(AA277+AB277,2)</f>
        <v/>
      </c>
      <c r="AD277" s="127">
        <f t="array" ref="AD277">ROUND((G277*H277)-AC277,2)</f>
        <v/>
      </c>
      <c r="AE277" s="54">
        <f t="array" ref="AE277">_xlfn.IFERROR(ROUND(AC277/(G277*H277),2),0)</f>
        <v/>
      </c>
      <c r="AF277" s="7" t="n"/>
      <c r="AG277" s="7" t="n"/>
      <c r="AH277" s="7" t="n"/>
      <c r="AI277" s="7" t="n"/>
      <c r="AJ277" s="7" t="n"/>
      <c r="AK277" s="7" t="n"/>
      <c r="AL277" s="7" t="n"/>
    </row>
    <row r="278" ht="266.4" customHeight="1" s="104">
      <c r="A278" s="68" t="n">
        <v>3175</v>
      </c>
      <c r="B278" s="44" t="inlineStr">
        <is>
          <t>REATOR INTERNO PARA LÂMPADA VAPOR DE SÓDIO 600W, 220V, 60HZ, FATOR DE POTÊNCIA 0,92 (MÍN.), COM IGNITOR INCORPORADO, PERDA MÁXIMA 50W, CONFORME NORMA ABNT/NBR 13593</t>
        </is>
      </c>
      <c r="C278" s="44" t="inlineStr">
        <is>
          <t>PÇ</t>
        </is>
      </c>
      <c r="D278" s="45" t="n">
        <v>2</v>
      </c>
      <c r="E278" s="45" t="n"/>
      <c r="F278" s="45" t="n"/>
      <c r="G278" s="45">
        <f t="array" ref="G278">SUM(D278:F278)</f>
        <v/>
      </c>
      <c r="H278" s="121">
        <f t="array" ref="H278">VLOOKUP(A278,#REF!,5,0)</f>
        <v/>
      </c>
      <c r="I278" s="122" t="n">
        <v>0</v>
      </c>
      <c r="J278" s="123" t="n">
        <v>0</v>
      </c>
      <c r="K278" s="124" t="n">
        <v>0</v>
      </c>
      <c r="L278" s="123" t="n">
        <v>0</v>
      </c>
      <c r="M278" s="124" t="n">
        <v>0</v>
      </c>
      <c r="N278" s="124" t="n">
        <v>0</v>
      </c>
      <c r="O278" s="124" t="n">
        <v>0</v>
      </c>
      <c r="P278" s="124" t="n">
        <v>0</v>
      </c>
      <c r="Q278" s="124" t="n">
        <v>0</v>
      </c>
      <c r="R278" s="124" t="n">
        <v>0</v>
      </c>
      <c r="S278" s="124" t="n">
        <v>0</v>
      </c>
      <c r="T278" s="124" t="n">
        <v>0</v>
      </c>
      <c r="U278" s="124" t="n"/>
      <c r="V278" s="124" t="n"/>
      <c r="W278" s="125">
        <f t="array" ref="W278">SUM(I278:V278)</f>
        <v/>
      </c>
      <c r="X278" s="126" t="n">
        <v>0</v>
      </c>
      <c r="Y278" s="125">
        <f t="array" ref="Y278">W278+X278</f>
        <v/>
      </c>
      <c r="Z278" s="125">
        <f t="array" ref="Z278">G278-Y278</f>
        <v/>
      </c>
      <c r="AA278" s="121">
        <f t="array" ref="AA278">ROUND(W278*H278,2)</f>
        <v/>
      </c>
      <c r="AB278" s="127">
        <f t="array" ref="AB278">ROUND(X278*H278,2)</f>
        <v/>
      </c>
      <c r="AC278" s="121">
        <f t="array" ref="AC278">ROUND(AA278+AB278,2)</f>
        <v/>
      </c>
      <c r="AD278" s="127">
        <f t="array" ref="AD278">ROUND((G278*H278)-AC278,2)</f>
        <v/>
      </c>
      <c r="AE278" s="54">
        <f t="array" ref="AE278">_xlfn.IFERROR(ROUND(AC278/(G278*H278),2),0)</f>
        <v/>
      </c>
      <c r="AF278" s="7" t="n"/>
      <c r="AG278" s="7" t="n"/>
      <c r="AH278" s="7" t="n"/>
      <c r="AI278" s="7" t="n"/>
      <c r="AJ278" s="7" t="n"/>
      <c r="AK278" s="7" t="n"/>
      <c r="AL278" s="7" t="n"/>
    </row>
    <row r="279" ht="199.8" customHeight="1" s="104">
      <c r="A279" s="68" t="n">
        <v>3176</v>
      </c>
      <c r="B279" s="44" t="inlineStr">
        <is>
          <t>REATOR INTERNO PARA LÂMPADA VAPOR DE SÓDIO 70W, 220V, 60HZ, FATOR DE POTÊNCIA 0,92 (MÍN.), COM IGNITOR INCORPORADO, PERDA MÁXIMA 12W</t>
        </is>
      </c>
      <c r="C279" s="44" t="inlineStr">
        <is>
          <t>PÇ</t>
        </is>
      </c>
      <c r="D279" s="45" t="n">
        <v>25</v>
      </c>
      <c r="E279" s="45" t="n"/>
      <c r="F279" s="45" t="n"/>
      <c r="G279" s="45">
        <f t="array" ref="G279">SUM(D279:F279)</f>
        <v/>
      </c>
      <c r="H279" s="121">
        <f t="array" ref="H279">VLOOKUP(A279,#REF!,5,0)</f>
        <v/>
      </c>
      <c r="I279" s="122" t="n">
        <v>0</v>
      </c>
      <c r="J279" s="123" t="n">
        <v>0</v>
      </c>
      <c r="K279" s="124" t="n">
        <v>0</v>
      </c>
      <c r="L279" s="123" t="n">
        <v>0</v>
      </c>
      <c r="M279" s="124" t="n">
        <v>0</v>
      </c>
      <c r="N279" s="124" t="n">
        <v>0</v>
      </c>
      <c r="O279" s="124" t="n">
        <v>0</v>
      </c>
      <c r="P279" s="124" t="n">
        <v>0</v>
      </c>
      <c r="Q279" s="124" t="n">
        <v>0</v>
      </c>
      <c r="R279" s="124" t="n">
        <v>0</v>
      </c>
      <c r="S279" s="124" t="n">
        <v>0</v>
      </c>
      <c r="T279" s="124" t="n">
        <v>0</v>
      </c>
      <c r="U279" s="124" t="n"/>
      <c r="V279" s="124" t="n"/>
      <c r="W279" s="125">
        <f t="array" ref="W279">SUM(I279:V279)</f>
        <v/>
      </c>
      <c r="X279" s="126" t="n">
        <v>0</v>
      </c>
      <c r="Y279" s="125">
        <f t="array" ref="Y279">W279+X279</f>
        <v/>
      </c>
      <c r="Z279" s="125">
        <f t="array" ref="Z279">G279-Y279</f>
        <v/>
      </c>
      <c r="AA279" s="121">
        <f t="array" ref="AA279">ROUND(W279*H279,2)</f>
        <v/>
      </c>
      <c r="AB279" s="127">
        <f t="array" ref="AB279">ROUND(X279*H279,2)</f>
        <v/>
      </c>
      <c r="AC279" s="121">
        <f t="array" ref="AC279">ROUND(AA279+AB279,2)</f>
        <v/>
      </c>
      <c r="AD279" s="127">
        <f t="array" ref="AD279">ROUND((G279*H279)-AC279,2)</f>
        <v/>
      </c>
      <c r="AE279" s="54">
        <f t="array" ref="AE279">_xlfn.IFERROR(ROUND(AC279/(G279*H279),2),0)</f>
        <v/>
      </c>
      <c r="AF279" s="7" t="n"/>
      <c r="AG279" s="7" t="n"/>
      <c r="AH279" s="7" t="n"/>
      <c r="AI279" s="7" t="n"/>
      <c r="AJ279" s="7" t="n"/>
      <c r="AK279" s="7" t="n"/>
      <c r="AL279" s="7" t="n"/>
    </row>
    <row r="280" ht="266.4" customHeight="1" s="104">
      <c r="A280" s="68" t="n">
        <v>3177</v>
      </c>
      <c r="B280" s="44" t="inlineStr">
        <is>
          <t>REATOR INTERNO PARA LÂMPADA VAPOR METÁLICO 1.000W, 220V, 60HZ, ALTO FATOR DE POTÊNCIA, COM IGNITOR INCORPORADO, PERDA MÁXIMA DE 90W,  CONFORME NORMA ABNT/NBR 14305</t>
        </is>
      </c>
      <c r="C280" s="44" t="inlineStr">
        <is>
          <t>PÇ</t>
        </is>
      </c>
      <c r="D280" s="45" t="n">
        <v>2</v>
      </c>
      <c r="E280" s="45" t="n"/>
      <c r="F280" s="45" t="n"/>
      <c r="G280" s="45">
        <f t="array" ref="G280">SUM(D280:F280)</f>
        <v/>
      </c>
      <c r="H280" s="121">
        <f t="array" ref="H280">VLOOKUP(A280,#REF!,5,0)</f>
        <v/>
      </c>
      <c r="I280" s="122" t="n">
        <v>0</v>
      </c>
      <c r="J280" s="123" t="n">
        <v>0</v>
      </c>
      <c r="K280" s="124" t="n">
        <v>0</v>
      </c>
      <c r="L280" s="123" t="n">
        <v>0</v>
      </c>
      <c r="M280" s="124" t="n">
        <v>0</v>
      </c>
      <c r="N280" s="124" t="n">
        <v>0</v>
      </c>
      <c r="O280" s="124" t="n">
        <v>0</v>
      </c>
      <c r="P280" s="124" t="n">
        <v>0</v>
      </c>
      <c r="Q280" s="124" t="n">
        <v>0</v>
      </c>
      <c r="R280" s="124" t="n">
        <v>0</v>
      </c>
      <c r="S280" s="124" t="n">
        <v>0</v>
      </c>
      <c r="T280" s="124" t="n">
        <v>0</v>
      </c>
      <c r="U280" s="124" t="n"/>
      <c r="V280" s="124" t="n"/>
      <c r="W280" s="125">
        <f t="array" ref="W280">SUM(I280:V280)</f>
        <v/>
      </c>
      <c r="X280" s="126" t="n">
        <v>0</v>
      </c>
      <c r="Y280" s="125">
        <f t="array" ref="Y280">W280+X280</f>
        <v/>
      </c>
      <c r="Z280" s="125">
        <f t="array" ref="Z280">G280-Y280</f>
        <v/>
      </c>
      <c r="AA280" s="121">
        <f t="array" ref="AA280">ROUND(W280*H280,2)</f>
        <v/>
      </c>
      <c r="AB280" s="127">
        <f t="array" ref="AB280">ROUND(X280*H280,2)</f>
        <v/>
      </c>
      <c r="AC280" s="121">
        <f t="array" ref="AC280">ROUND(AA280+AB280,2)</f>
        <v/>
      </c>
      <c r="AD280" s="127">
        <f t="array" ref="AD280">ROUND((G280*H280)-AC280,2)</f>
        <v/>
      </c>
      <c r="AE280" s="54">
        <f t="array" ref="AE280">_xlfn.IFERROR(ROUND(AC280/(G280*H280),2),0)</f>
        <v/>
      </c>
      <c r="AF280" s="7" t="n"/>
      <c r="AG280" s="7" t="n"/>
      <c r="AH280" s="7" t="n"/>
      <c r="AI280" s="7" t="n"/>
      <c r="AJ280" s="7" t="n"/>
      <c r="AK280" s="7" t="n"/>
      <c r="AL280" s="7" t="n"/>
    </row>
    <row r="281" ht="266.4" customHeight="1" s="104">
      <c r="A281" s="68" t="n">
        <v>3178</v>
      </c>
      <c r="B281" s="44" t="inlineStr">
        <is>
          <t>REATOR INTERNO PARA LÂMPADA VAPOR METÁLICO 250W, 220V, 60HZ, ALTO FATOR DE POTÊNCIA 0,92 (MÍN.), COM IGNITOR INCORPORADO, PERDA MÁXIMA DE 30W, CONFORME NORMA ABNT/NBR 14305</t>
        </is>
      </c>
      <c r="C281" s="44" t="inlineStr">
        <is>
          <t>PÇ</t>
        </is>
      </c>
      <c r="D281" s="45" t="n">
        <v>10</v>
      </c>
      <c r="E281" s="45" t="n"/>
      <c r="F281" s="45" t="n"/>
      <c r="G281" s="45">
        <f t="array" ref="G281">SUM(D281:F281)</f>
        <v/>
      </c>
      <c r="H281" s="121">
        <f t="array" ref="H281">VLOOKUP(A281,#REF!,5,0)</f>
        <v/>
      </c>
      <c r="I281" s="122" t="n">
        <v>0</v>
      </c>
      <c r="J281" s="123" t="n">
        <v>0</v>
      </c>
      <c r="K281" s="124" t="n">
        <v>0</v>
      </c>
      <c r="L281" s="123" t="n">
        <v>0</v>
      </c>
      <c r="M281" s="124" t="n">
        <v>0</v>
      </c>
      <c r="N281" s="124" t="n">
        <v>0</v>
      </c>
      <c r="O281" s="124" t="n">
        <v>0</v>
      </c>
      <c r="P281" s="124" t="n">
        <v>0</v>
      </c>
      <c r="Q281" s="124" t="n">
        <v>0</v>
      </c>
      <c r="R281" s="124" t="n">
        <v>0</v>
      </c>
      <c r="S281" s="124" t="n">
        <v>0</v>
      </c>
      <c r="T281" s="124" t="n">
        <v>0</v>
      </c>
      <c r="U281" s="124" t="n"/>
      <c r="V281" s="124" t="n"/>
      <c r="W281" s="125">
        <f t="array" ref="W281">SUM(I281:V281)</f>
        <v/>
      </c>
      <c r="X281" s="126" t="n">
        <v>0</v>
      </c>
      <c r="Y281" s="125">
        <f t="array" ref="Y281">W281+X281</f>
        <v/>
      </c>
      <c r="Z281" s="125">
        <f t="array" ref="Z281">G281-Y281</f>
        <v/>
      </c>
      <c r="AA281" s="121">
        <f t="array" ref="AA281">ROUND(W281*H281,2)</f>
        <v/>
      </c>
      <c r="AB281" s="127">
        <f t="array" ref="AB281">ROUND(X281*H281,2)</f>
        <v/>
      </c>
      <c r="AC281" s="121">
        <f t="array" ref="AC281">ROUND(AA281+AB281,2)</f>
        <v/>
      </c>
      <c r="AD281" s="127">
        <f t="array" ref="AD281">ROUND((G281*H281)-AC281,2)</f>
        <v/>
      </c>
      <c r="AE281" s="54">
        <f t="array" ref="AE281">_xlfn.IFERROR(ROUND(AC281/(G281*H281),2),0)</f>
        <v/>
      </c>
      <c r="AF281" s="7" t="n"/>
      <c r="AG281" s="7" t="n"/>
      <c r="AH281" s="7" t="n"/>
      <c r="AI281" s="7" t="n"/>
      <c r="AJ281" s="7" t="n"/>
      <c r="AK281" s="7" t="n"/>
      <c r="AL281" s="7" t="n"/>
    </row>
    <row r="282" ht="266.4" customHeight="1" s="104">
      <c r="A282" s="68" t="n">
        <v>3179</v>
      </c>
      <c r="B282" s="44" t="inlineStr">
        <is>
          <t>REATOR INTERNO PARA LÂMPADA VAPOR METÁLICO 400W, 220V, 60HZ, ALTO FATOR DE POTÊNCIA, COM IGNITOR INCORPORADO, PERDA MÁXIMA DE 38W,  CONFORME NORMA ABNT/NBR 14305</t>
        </is>
      </c>
      <c r="C282" s="44" t="inlineStr">
        <is>
          <t>PÇ</t>
        </is>
      </c>
      <c r="D282" s="45" t="n">
        <v>5</v>
      </c>
      <c r="E282" s="45" t="n"/>
      <c r="F282" s="45" t="n"/>
      <c r="G282" s="45">
        <f t="array" ref="G282">SUM(D282:F282)</f>
        <v/>
      </c>
      <c r="H282" s="121">
        <f t="array" ref="H282">VLOOKUP(A282,#REF!,5,0)</f>
        <v/>
      </c>
      <c r="I282" s="122" t="n">
        <v>0</v>
      </c>
      <c r="J282" s="123" t="n">
        <v>0</v>
      </c>
      <c r="K282" s="124" t="n">
        <v>0</v>
      </c>
      <c r="L282" s="123" t="n">
        <v>0</v>
      </c>
      <c r="M282" s="124" t="n">
        <v>0</v>
      </c>
      <c r="N282" s="124" t="n">
        <v>0</v>
      </c>
      <c r="O282" s="124" t="n">
        <v>0</v>
      </c>
      <c r="P282" s="124" t="n">
        <v>0</v>
      </c>
      <c r="Q282" s="124" t="n">
        <v>0</v>
      </c>
      <c r="R282" s="124" t="n">
        <v>0</v>
      </c>
      <c r="S282" s="124" t="n">
        <v>0</v>
      </c>
      <c r="T282" s="124" t="n">
        <v>0</v>
      </c>
      <c r="U282" s="124" t="n"/>
      <c r="V282" s="124" t="n"/>
      <c r="W282" s="125">
        <f t="array" ref="W282">SUM(I282:V282)</f>
        <v/>
      </c>
      <c r="X282" s="126" t="n">
        <v>0</v>
      </c>
      <c r="Y282" s="125">
        <f t="array" ref="Y282">W282+X282</f>
        <v/>
      </c>
      <c r="Z282" s="125">
        <f t="array" ref="Z282">G282-Y282</f>
        <v/>
      </c>
      <c r="AA282" s="121">
        <f t="array" ref="AA282">ROUND(W282*H282,2)</f>
        <v/>
      </c>
      <c r="AB282" s="127">
        <f t="array" ref="AB282">ROUND(X282*H282,2)</f>
        <v/>
      </c>
      <c r="AC282" s="121">
        <f t="array" ref="AC282">ROUND(AA282+AB282,2)</f>
        <v/>
      </c>
      <c r="AD282" s="127">
        <f t="array" ref="AD282">ROUND((G282*H282)-AC282,2)</f>
        <v/>
      </c>
      <c r="AE282" s="54">
        <f t="array" ref="AE282">_xlfn.IFERROR(ROUND(AC282/(G282*H282),2),0)</f>
        <v/>
      </c>
      <c r="AF282" s="7" t="n"/>
      <c r="AG282" s="7" t="n"/>
      <c r="AH282" s="7" t="n"/>
      <c r="AI282" s="7" t="n"/>
      <c r="AJ282" s="7" t="n"/>
      <c r="AK282" s="7" t="n"/>
      <c r="AL282" s="7" t="n"/>
    </row>
    <row r="283" ht="409.6" customHeight="1" s="104">
      <c r="A283" s="68" t="n">
        <v>3180</v>
      </c>
      <c r="B283" s="44" t="inlineStr">
        <is>
          <t>RELÉ FOTOELÉTRICO ELETRÔNICO, NF, TAMPA EM POLICARBONATO COM PROTEÇÃO UV, CONTATOS EM LATÃO ESTANHADO, TENSÃO NOMINAL 105 - 305 VCA, 1.800 VA, 60 HZ, ACIONAMENTO COM COM RETARDO DE 2 À 5 S PARA LIGAR, LIGA COM ILUMINAÇÃO MENOR QUE 10 LUX E DESLIGAMENTO MÁXIMO ATÉ 30 LUX, GRAU DE PROTEÇÃO IP 67</t>
        </is>
      </c>
      <c r="C283" s="44" t="inlineStr">
        <is>
          <t>PÇ</t>
        </is>
      </c>
      <c r="D283" s="45" t="n">
        <v>4148</v>
      </c>
      <c r="E283" s="45" t="n"/>
      <c r="F283" s="45" t="n"/>
      <c r="G283" s="45">
        <f t="array" ref="G283">SUM(D283:F283)</f>
        <v/>
      </c>
      <c r="H283" s="121">
        <f t="array" ref="H283">VLOOKUP(A283,#REF!,5,0)</f>
        <v/>
      </c>
      <c r="I283" s="122" t="n">
        <v>11</v>
      </c>
      <c r="J283" s="123" t="n">
        <v>551</v>
      </c>
      <c r="K283" s="124" t="n">
        <v>450</v>
      </c>
      <c r="L283" s="123" t="n">
        <v>415</v>
      </c>
      <c r="M283" s="124" t="n">
        <v>580</v>
      </c>
      <c r="N283" s="124" t="n">
        <v>495</v>
      </c>
      <c r="O283" s="124" t="n">
        <v>316</v>
      </c>
      <c r="P283" s="124" t="n">
        <v>157</v>
      </c>
      <c r="Q283" s="124" t="n">
        <v>604</v>
      </c>
      <c r="R283" s="124" t="n">
        <v>434</v>
      </c>
      <c r="S283" s="124" t="n">
        <v>135</v>
      </c>
      <c r="T283" s="124" t="n">
        <v>0</v>
      </c>
      <c r="U283" s="124" t="n"/>
      <c r="V283" s="124" t="n"/>
      <c r="W283" s="125">
        <f t="array" ref="W283">SUM(I283:V283)</f>
        <v/>
      </c>
      <c r="X283" s="126" t="n">
        <v>0</v>
      </c>
      <c r="Y283" s="125">
        <f t="array" ref="Y283">W283+X283</f>
        <v/>
      </c>
      <c r="Z283" s="125">
        <f t="array" ref="Z283">G283-Y283</f>
        <v/>
      </c>
      <c r="AA283" s="121">
        <f t="array" ref="AA283">ROUND(W283*H283,2)</f>
        <v/>
      </c>
      <c r="AB283" s="127">
        <f t="array" ref="AB283">ROUND(X283*H283,2)</f>
        <v/>
      </c>
      <c r="AC283" s="121">
        <f t="array" ref="AC283">ROUND(AA283+AB283,2)</f>
        <v/>
      </c>
      <c r="AD283" s="127">
        <f t="array" ref="AD283">ROUND((G283*H283)-AC283,2)</f>
        <v/>
      </c>
      <c r="AE283" s="54">
        <f t="array" ref="AE283">_xlfn.IFERROR(ROUND(AC283/(G283*H283),2),0)</f>
        <v/>
      </c>
      <c r="AF283" s="7" t="n"/>
      <c r="AG283" s="7" t="n"/>
      <c r="AH283" s="7" t="n"/>
      <c r="AI283" s="7" t="n"/>
      <c r="AJ283" s="7" t="n"/>
      <c r="AK283" s="7" t="n"/>
      <c r="AL283" s="7" t="n"/>
    </row>
    <row r="284" ht="133.2" customHeight="1" s="104">
      <c r="A284" s="68" t="n">
        <v>3181</v>
      </c>
      <c r="B284" s="44" t="inlineStr">
        <is>
          <t>TAMPA DE FERRO FUNDIDO NODULAR, DIMENSÕES 65X45X5CM, COM GUARNIÇÃO, 125 KN</t>
        </is>
      </c>
      <c r="C284" s="44" t="inlineStr">
        <is>
          <t>PÇ</t>
        </is>
      </c>
      <c r="D284" s="45" t="n">
        <v>5</v>
      </c>
      <c r="E284" s="45" t="n"/>
      <c r="F284" s="45" t="n"/>
      <c r="G284" s="45">
        <f t="array" ref="G284">SUM(D284:F284)</f>
        <v/>
      </c>
      <c r="H284" s="121">
        <f t="array" ref="H284">VLOOKUP(A284,#REF!,5,0)</f>
        <v/>
      </c>
      <c r="I284" s="122" t="n">
        <v>0</v>
      </c>
      <c r="J284" s="123" t="n">
        <v>0</v>
      </c>
      <c r="K284" s="124" t="n">
        <v>0</v>
      </c>
      <c r="L284" s="123" t="n">
        <v>0</v>
      </c>
      <c r="M284" s="124" t="n">
        <v>0</v>
      </c>
      <c r="N284" s="124" t="n">
        <v>0</v>
      </c>
      <c r="O284" s="124" t="n">
        <v>0</v>
      </c>
      <c r="P284" s="124" t="n">
        <v>0</v>
      </c>
      <c r="Q284" s="124" t="n">
        <v>0</v>
      </c>
      <c r="R284" s="124" t="n">
        <v>0</v>
      </c>
      <c r="S284" s="124" t="n">
        <v>0</v>
      </c>
      <c r="T284" s="124" t="n">
        <v>0</v>
      </c>
      <c r="U284" s="124" t="n"/>
      <c r="V284" s="124" t="n"/>
      <c r="W284" s="125">
        <f t="array" ref="W284">SUM(I284:V284)</f>
        <v/>
      </c>
      <c r="X284" s="126" t="n">
        <v>0</v>
      </c>
      <c r="Y284" s="125">
        <f t="array" ref="Y284">W284+X284</f>
        <v/>
      </c>
      <c r="Z284" s="125">
        <f t="array" ref="Z284">G284-Y284</f>
        <v/>
      </c>
      <c r="AA284" s="121">
        <f t="array" ref="AA284">ROUND(W284*H284,2)</f>
        <v/>
      </c>
      <c r="AB284" s="127">
        <f t="array" ref="AB284">ROUND(X284*H284,2)</f>
        <v/>
      </c>
      <c r="AC284" s="121">
        <f t="array" ref="AC284">ROUND(AA284+AB284,2)</f>
        <v/>
      </c>
      <c r="AD284" s="127">
        <f t="array" ref="AD284">ROUND((G284*H284)-AC284,2)</f>
        <v/>
      </c>
      <c r="AE284" s="54">
        <f t="array" ref="AE284">_xlfn.IFERROR(ROUND(AC284/(G284*H284),2),0)</f>
        <v/>
      </c>
      <c r="AF284" s="7" t="n"/>
      <c r="AG284" s="7" t="n"/>
      <c r="AH284" s="7" t="n"/>
      <c r="AI284" s="7" t="n"/>
      <c r="AJ284" s="7" t="n"/>
      <c r="AK284" s="7" t="n"/>
      <c r="AL284" s="7" t="n"/>
    </row>
    <row r="285" ht="133.2" customHeight="1" s="104">
      <c r="A285" s="68" t="n">
        <v>3182</v>
      </c>
      <c r="B285" s="44" t="inlineStr">
        <is>
          <t>TAMPA METÁLICA, COM PARAFUSOS, PARA CAIXA DE FUSÍVEIS DE POSTES DE CONCRETO E DE AÇO</t>
        </is>
      </c>
      <c r="C285" s="44" t="inlineStr">
        <is>
          <t>PÇ</t>
        </is>
      </c>
      <c r="D285" s="45" t="n">
        <v>50</v>
      </c>
      <c r="E285" s="45" t="n"/>
      <c r="F285" s="45" t="n"/>
      <c r="G285" s="45">
        <f t="array" ref="G285">SUM(D285:F285)</f>
        <v/>
      </c>
      <c r="H285" s="121">
        <f t="array" ref="H285">VLOOKUP(A285,#REF!,5,0)</f>
        <v/>
      </c>
      <c r="I285" s="122" t="n">
        <v>0</v>
      </c>
      <c r="J285" s="123" t="n">
        <v>0</v>
      </c>
      <c r="K285" s="124" t="n">
        <v>0</v>
      </c>
      <c r="L285" s="123" t="n">
        <v>0</v>
      </c>
      <c r="M285" s="124" t="n">
        <v>0</v>
      </c>
      <c r="N285" s="124" t="n">
        <v>0</v>
      </c>
      <c r="O285" s="124" t="n">
        <v>0</v>
      </c>
      <c r="P285" s="124" t="n">
        <v>0</v>
      </c>
      <c r="Q285" s="124" t="n">
        <v>0</v>
      </c>
      <c r="R285" s="124" t="n">
        <v>0</v>
      </c>
      <c r="S285" s="124" t="n">
        <v>0</v>
      </c>
      <c r="T285" s="124" t="n">
        <v>0</v>
      </c>
      <c r="U285" s="124" t="n"/>
      <c r="V285" s="124" t="n"/>
      <c r="W285" s="125">
        <f t="array" ref="W285">SUM(I285:V285)</f>
        <v/>
      </c>
      <c r="X285" s="126" t="n">
        <v>0</v>
      </c>
      <c r="Y285" s="125">
        <f t="array" ref="Y285">W285+X285</f>
        <v/>
      </c>
      <c r="Z285" s="125">
        <f t="array" ref="Z285">G285-Y285</f>
        <v/>
      </c>
      <c r="AA285" s="121">
        <f t="array" ref="AA285">ROUND(W285*H285,2)</f>
        <v/>
      </c>
      <c r="AB285" s="127">
        <f t="array" ref="AB285">ROUND(X285*H285,2)</f>
        <v/>
      </c>
      <c r="AC285" s="121">
        <f t="array" ref="AC285">ROUND(AA285+AB285,2)</f>
        <v/>
      </c>
      <c r="AD285" s="127">
        <f t="array" ref="AD285">ROUND((G285*H285)-AC285,2)</f>
        <v/>
      </c>
      <c r="AE285" s="54">
        <f t="array" ref="AE285">_xlfn.IFERROR(ROUND(AC285/(G285*H285),2),0)</f>
        <v/>
      </c>
      <c r="AF285" s="7" t="n"/>
      <c r="AG285" s="7" t="n"/>
      <c r="AH285" s="7" t="n"/>
      <c r="AI285" s="7" t="n"/>
      <c r="AJ285" s="7" t="n"/>
      <c r="AK285" s="7" t="n"/>
      <c r="AL285" s="7" t="n"/>
    </row>
    <row r="286" ht="133.2" customHeight="1" s="104">
      <c r="A286" s="68" t="n">
        <v>3183</v>
      </c>
      <c r="B286" s="44" t="inlineStr">
        <is>
          <t>TUBO DE AÇO GALVANIZADO À FOGO, TIPO PESADO, DIÂMETRO 1 1/2"</t>
        </is>
      </c>
      <c r="C286" s="44" t="inlineStr">
        <is>
          <t>M</t>
        </is>
      </c>
      <c r="D286" s="45" t="n">
        <v>250</v>
      </c>
      <c r="E286" s="45" t="n"/>
      <c r="F286" s="45" t="n"/>
      <c r="G286" s="45">
        <f t="array" ref="G286">SUM(D286:F286)</f>
        <v/>
      </c>
      <c r="H286" s="121">
        <f t="array" ref="H286">VLOOKUP(A286,#REF!,5,0)</f>
        <v/>
      </c>
      <c r="I286" s="122" t="n">
        <v>0</v>
      </c>
      <c r="J286" s="123" t="n">
        <v>0</v>
      </c>
      <c r="K286" s="124" t="n">
        <v>0</v>
      </c>
      <c r="L286" s="123" t="n">
        <v>100</v>
      </c>
      <c r="M286" s="124" t="n">
        <v>0</v>
      </c>
      <c r="N286" s="124" t="n">
        <v>36</v>
      </c>
      <c r="O286" s="124" t="n">
        <v>0</v>
      </c>
      <c r="P286" s="124" t="n">
        <v>0</v>
      </c>
      <c r="Q286" s="124" t="n">
        <v>0</v>
      </c>
      <c r="R286" s="124" t="n">
        <v>0</v>
      </c>
      <c r="S286" s="124" t="n">
        <v>0</v>
      </c>
      <c r="T286" s="124" t="n">
        <v>0</v>
      </c>
      <c r="U286" s="124" t="n"/>
      <c r="V286" s="124" t="n"/>
      <c r="W286" s="125">
        <f t="array" ref="W286">SUM(I286:V286)</f>
        <v/>
      </c>
      <c r="X286" s="126" t="n">
        <v>0</v>
      </c>
      <c r="Y286" s="125">
        <f t="array" ref="Y286">W286+X286</f>
        <v/>
      </c>
      <c r="Z286" s="125">
        <f t="array" ref="Z286">G286-Y286</f>
        <v/>
      </c>
      <c r="AA286" s="121">
        <f t="array" ref="AA286">ROUND(W286*H286,2)</f>
        <v/>
      </c>
      <c r="AB286" s="127">
        <f t="array" ref="AB286">ROUND(X286*H286,2)</f>
        <v/>
      </c>
      <c r="AC286" s="121">
        <f t="array" ref="AC286">ROUND(AA286+AB286,2)</f>
        <v/>
      </c>
      <c r="AD286" s="127">
        <f t="array" ref="AD286">ROUND((G286*H286)-AC286,2)</f>
        <v/>
      </c>
      <c r="AE286" s="54">
        <f t="array" ref="AE286">_xlfn.IFERROR(ROUND(AC286/(G286*H286),2),0)</f>
        <v/>
      </c>
      <c r="AF286" s="7" t="n"/>
      <c r="AG286" s="7" t="n"/>
      <c r="AH286" s="7" t="n"/>
      <c r="AI286" s="7" t="n"/>
      <c r="AJ286" s="7" t="n"/>
      <c r="AK286" s="7" t="n"/>
      <c r="AL286" s="7" t="n"/>
    </row>
    <row r="287" ht="66.59999999999999" customHeight="1" s="104">
      <c r="A287" s="37" t="inlineStr">
        <is>
          <t>4.0</t>
        </is>
      </c>
      <c r="B287" s="38" t="inlineStr">
        <is>
          <t>PROJETOS COMPLEMENTARES</t>
        </is>
      </c>
      <c r="C287" s="128" t="n"/>
      <c r="D287" s="56" t="n"/>
      <c r="E287" s="56" t="n"/>
      <c r="F287" s="56" t="n"/>
      <c r="G287" s="56" t="n"/>
      <c r="H287" s="57" t="n"/>
      <c r="I287" s="129" t="n"/>
      <c r="J287" s="56" t="n"/>
      <c r="K287" s="130" t="n"/>
      <c r="L287" s="60" t="n"/>
      <c r="M287" s="130" t="n"/>
      <c r="N287" s="130" t="n"/>
      <c r="O287" s="130" t="n"/>
      <c r="P287" s="130" t="n"/>
      <c r="Q287" s="130" t="n"/>
      <c r="R287" s="130" t="n"/>
      <c r="S287" s="130" t="n"/>
      <c r="T287" s="130" t="n"/>
      <c r="U287" s="130" t="n"/>
      <c r="V287" s="130" t="n"/>
      <c r="W287" s="130" t="n"/>
      <c r="X287" s="56" t="n"/>
      <c r="Y287" s="134" t="n"/>
      <c r="Z287" s="134" t="n"/>
      <c r="AA287" s="56" t="n"/>
      <c r="AB287" s="56" t="n"/>
      <c r="AC287" s="131" t="n"/>
      <c r="AD287" s="56" t="n"/>
      <c r="AE287" s="62" t="n"/>
      <c r="AF287" s="36" t="n"/>
      <c r="AG287" s="7" t="n"/>
      <c r="AH287" s="7" t="n"/>
      <c r="AI287" s="7" t="n"/>
      <c r="AJ287" s="7" t="n"/>
      <c r="AK287" s="7" t="n"/>
      <c r="AL287" s="7" t="n"/>
    </row>
    <row r="288" ht="66.59999999999999" customHeight="1" s="104">
      <c r="A288" s="44" t="inlineStr">
        <is>
          <t>4.1</t>
        </is>
      </c>
      <c r="B288" s="44" t="inlineStr">
        <is>
          <t>ELABORAÇÃO DE PROJETOS ELÉTRICOS</t>
        </is>
      </c>
      <c r="C288" s="44" t="inlineStr">
        <is>
          <t>HR</t>
        </is>
      </c>
      <c r="D288" s="45" t="n">
        <v>1000</v>
      </c>
      <c r="E288" s="45" t="n"/>
      <c r="F288" s="45" t="n">
        <v>550</v>
      </c>
      <c r="G288" s="45">
        <f t="array" ref="G288">SUM(D288:F288)</f>
        <v/>
      </c>
      <c r="H288" s="121">
        <f t="array" ref="H288">VLOOKUP(A288,#REF!,5,0)</f>
        <v/>
      </c>
      <c r="I288" s="122" t="n">
        <v>0</v>
      </c>
      <c r="J288" s="123" t="n">
        <v>129</v>
      </c>
      <c r="K288" s="124" t="n">
        <v>125</v>
      </c>
      <c r="L288" s="123" t="n">
        <v>124.48</v>
      </c>
      <c r="M288" s="124" t="n">
        <v>99</v>
      </c>
      <c r="N288" s="124" t="n">
        <v>104.483852960635</v>
      </c>
      <c r="O288" s="124" t="n">
        <v>104.48</v>
      </c>
      <c r="P288" s="124" t="n">
        <v>0</v>
      </c>
      <c r="Q288" s="124" t="n">
        <v>160</v>
      </c>
      <c r="R288" s="124" t="n">
        <v>132</v>
      </c>
      <c r="S288" s="124" t="n">
        <v>560</v>
      </c>
      <c r="T288" s="124" t="n">
        <v>9</v>
      </c>
      <c r="U288" s="124" t="n"/>
      <c r="V288" s="124" t="n"/>
      <c r="W288" s="125">
        <f t="array" ref="W288">SUM(I288:V288)</f>
        <v/>
      </c>
      <c r="X288" s="126" t="n">
        <v>0</v>
      </c>
      <c r="Y288" s="125">
        <f t="array" ref="Y288">W288+X288</f>
        <v/>
      </c>
      <c r="Z288" s="125">
        <f t="array" ref="Z288">G288-Y288</f>
        <v/>
      </c>
      <c r="AA288" s="121">
        <f t="array" ref="AA288">ROUND(W288*H288,2)</f>
        <v/>
      </c>
      <c r="AB288" s="127">
        <f t="array" ref="AB288">ROUND(X288*H288,2)</f>
        <v/>
      </c>
      <c r="AC288" s="121">
        <f t="array" ref="AC288">ROUND(AA288+AB288,2)</f>
        <v/>
      </c>
      <c r="AD288" s="127">
        <f t="array" ref="AD288">ROUND((G288*H288)-AC288,2)</f>
        <v/>
      </c>
      <c r="AE288" s="54">
        <f t="array" ref="AE288">_xlfn.IFERROR(ROUND(AC288/(G288*H288),2),0)</f>
        <v/>
      </c>
      <c r="AF288" s="7" t="n"/>
      <c r="AG288" s="7" t="n"/>
      <c r="AH288" s="7" t="n"/>
      <c r="AI288" s="7" t="n"/>
      <c r="AJ288" s="7" t="n"/>
      <c r="AK288" s="7" t="n"/>
      <c r="AL288" s="7" t="n"/>
    </row>
    <row r="289" ht="130.8" customHeight="1" s="104">
      <c r="A289" s="71" t="inlineStr">
        <is>
          <t>5.0</t>
        </is>
      </c>
      <c r="B289" s="72" t="inlineStr">
        <is>
          <t>ITENS NOVOS - DISPOSITIVOS DE PROTEÇÃO - MATERIAIS ELÉTRICOS</t>
        </is>
      </c>
      <c r="C289" s="135" t="n"/>
      <c r="D289" s="74" t="n"/>
      <c r="E289" s="74" t="n"/>
      <c r="F289" s="74" t="n"/>
      <c r="G289" s="74" t="n"/>
      <c r="H289" s="135" t="n"/>
      <c r="I289" s="136" t="n"/>
      <c r="J289" s="137" t="n"/>
      <c r="K289" s="138" t="n"/>
      <c r="L289" s="138" t="n"/>
      <c r="M289" s="138" t="n"/>
      <c r="N289" s="138" t="n"/>
      <c r="O289" s="138" t="n"/>
      <c r="P289" s="138" t="n"/>
      <c r="Q289" s="138" t="n"/>
      <c r="R289" s="138" t="n"/>
      <c r="S289" s="138" t="n"/>
      <c r="T289" s="138" t="n"/>
      <c r="U289" s="138" t="n"/>
      <c r="V289" s="138" t="n"/>
      <c r="W289" s="138" t="n"/>
      <c r="X289" s="138" t="n"/>
      <c r="Y289" s="138" t="n"/>
      <c r="Z289" s="138" t="n"/>
      <c r="AA289" s="138" t="n"/>
      <c r="AB289" s="138" t="n"/>
      <c r="AC289" s="138" t="n"/>
      <c r="AD289" s="138" t="n"/>
      <c r="AE289" s="139" t="n"/>
      <c r="AF289" s="36" t="n"/>
      <c r="AG289" s="7" t="n"/>
      <c r="AH289" s="7" t="n"/>
      <c r="AI289" s="7" t="n"/>
      <c r="AJ289" s="7" t="n"/>
      <c r="AK289" s="7" t="n"/>
      <c r="AL289" s="7" t="n"/>
    </row>
    <row r="290" ht="409.6" customHeight="1" s="104">
      <c r="A290" s="79" t="inlineStr">
        <is>
          <t>5.1</t>
        </is>
      </c>
      <c r="B290" s="80" t="inlineStr">
        <is>
          <t>Dispositivos de proteção contra subtensão e sobretensão permanentes: Trata-se de um dispositivo tipo relé de subtensão e sobretensão, que desliga a luminária e/ou o relé de telegestão enquanto permanecer em estado de subtensão ou sobretensão permanentes e oferece aos gestores ou operadores da iluminação pública a possibilidade de reduzir os prejuízos causados pela queima prematura das luminárias de LED e de relés de telegestão, garantindo assim maior vida útil e a continuidade do serviço de iluminação pública. Quando a tensão elétrica da rede retorna para níveis acima de 170 Vac ou abaixo de 250Vac, a luminária é religada automaticamente. O dispositivo de proteção deverá ter, minimamente, as seguintes especificações técnicas: - Tensão de operação mínima: 160-380 Vac; -Frequência: 60 Hz; - Tensão para bloqueio &lt; 160Vac ou &gt; 260 Vac; - Tensão para desbloqueio &gt; 170 Vac ou &lt; 250 Vac; - Tempo de atuação para bloqueio e desbloqueio &lt;100 mS; - Grau de proteção: IP66 quando associado a uma luminária IP66; - Corrente máxima admissível: 5 A; -Caixa ABS com proteção UV; - Instalação plug &amp; play (ANSI C136-41 de 5 ou 7 pinos), para encaixe na tomada NEMA luminária sem que prejudique o adequado controle da luminária pelo relé de telegestão (ligar,desligar e dimerizar); - Deverá ter LEDs indicativos de status de funcionamento (não obrigatório); - Deverá ser apresentado ensaio laboratorial de características elétricas do dispositivo de proteção comprovando a sua perfeita funcionalidade. Garantia mínima de 5 (cinco) anos.</t>
        </is>
      </c>
      <c r="C290" s="79" t="inlineStr">
        <is>
          <t>PÇ</t>
        </is>
      </c>
      <c r="D290" s="45" t="n"/>
      <c r="E290" s="45" t="n"/>
      <c r="F290" s="45" t="n">
        <v>300</v>
      </c>
      <c r="G290" s="45">
        <f t="array" ref="G290">SUM(D290:F290)</f>
        <v/>
      </c>
      <c r="H290" s="121" t="n">
        <v>298.62</v>
      </c>
      <c r="I290" s="122" t="n">
        <v>0</v>
      </c>
      <c r="J290" s="123" t="n">
        <v>0</v>
      </c>
      <c r="K290" s="124" t="n">
        <v>27</v>
      </c>
      <c r="L290" s="123" t="n">
        <v>49</v>
      </c>
      <c r="M290" s="124" t="n">
        <v>15</v>
      </c>
      <c r="N290" s="124" t="n">
        <v>40</v>
      </c>
      <c r="O290" s="124" t="n">
        <v>20</v>
      </c>
      <c r="P290" s="124" t="n">
        <v>0</v>
      </c>
      <c r="Q290" s="124" t="n">
        <v>142</v>
      </c>
      <c r="R290" s="124" t="n">
        <v>0</v>
      </c>
      <c r="S290" s="124" t="n">
        <v>5</v>
      </c>
      <c r="T290" s="124" t="n">
        <v>2</v>
      </c>
      <c r="U290" s="124" t="n"/>
      <c r="V290" s="124" t="n"/>
      <c r="W290" s="125">
        <f t="array" ref="W290">SUM(I290:V290)</f>
        <v/>
      </c>
      <c r="X290" s="126" t="n">
        <v>0</v>
      </c>
      <c r="Y290" s="125">
        <f t="array" ref="Y290">W290+X290</f>
        <v/>
      </c>
      <c r="Z290" s="125">
        <f t="array" ref="Z290">G290-Y290</f>
        <v/>
      </c>
      <c r="AA290" s="121">
        <f t="array" ref="AA290">ROUND(W290*H290,2)</f>
        <v/>
      </c>
      <c r="AB290" s="127">
        <f t="array" ref="AB290">ROUND(X290*H290,2)</f>
        <v/>
      </c>
      <c r="AC290" s="121">
        <f t="array" ref="AC290">ROUND(AA290+AB290,2)</f>
        <v/>
      </c>
      <c r="AD290" s="127">
        <f t="array" ref="AD290">ROUND((G290*H290)-AC290,2)</f>
        <v/>
      </c>
      <c r="AE290" s="54">
        <f t="array" ref="AE290">_xlfn.IFERROR(ROUND(AC290/(G290*H290),2),0)</f>
        <v/>
      </c>
      <c r="AF290" s="7" t="n"/>
      <c r="AG290" s="7" t="n"/>
      <c r="AH290" s="7" t="n"/>
      <c r="AI290" s="7" t="n"/>
      <c r="AJ290" s="7" t="n"/>
      <c r="AK290" s="7" t="n"/>
      <c r="AL290" s="7" t="n"/>
    </row>
    <row r="291" ht="409.6" customHeight="1" s="104">
      <c r="A291" s="79" t="inlineStr">
        <is>
          <t>5.2</t>
        </is>
      </c>
      <c r="B291" s="80" t="inlineStr">
        <is>
          <t>Dispositivos de proteção contra vazamento de corrente elétrica: Trata-se de um dispositivo que visa a proteção elétrica contra vazamento de corrente elétrica, o dispositivo efetua o desligamento da luminária e/ou poste de iluminação quando o mesmo apresenta vazamento de corrente elétrica igual ou superior a 30 mA. O dispositivo de proteção deverá ter, minimamente, as seguintes especificações técnicas: - Range de tensão:160-270 Vac; - Frequência da rede: 60 Hz; - Grau de proteção: IP68; -Corrente máxima admissível: 5 A; - Corrente de fuga de bloqueio &lt; 30mA; - Tempo de bloqueio &lt; 100 mS; - Representação luminosa com LED;- Temperatura: -25 °C à + 65 °C; - Reset: Imã externo. -Caixa ABS com proteção UV; Obs.1: Possibilita coordenação com outras proteções diferenciais. Deverá ser apresentado ensaio laboratorial de características elétricas do dispositivo de proteção comprovando a sua perfeita funcionalidade. Garantia mínima de 5 (cinco) anos.</t>
        </is>
      </c>
      <c r="C291" s="79" t="inlineStr">
        <is>
          <t>PÇ</t>
        </is>
      </c>
      <c r="D291" s="45" t="n"/>
      <c r="E291" s="45" t="n"/>
      <c r="F291" s="45" t="n">
        <v>500</v>
      </c>
      <c r="G291" s="45">
        <f t="array" ref="G291">SUM(D291:F291)</f>
        <v/>
      </c>
      <c r="H291" s="121" t="n">
        <v>317.495</v>
      </c>
      <c r="I291" s="122" t="n">
        <v>0</v>
      </c>
      <c r="J291" s="123" t="n">
        <v>44</v>
      </c>
      <c r="K291" s="124" t="n">
        <v>185</v>
      </c>
      <c r="L291" s="123" t="n">
        <v>47</v>
      </c>
      <c r="M291" s="124" t="n">
        <v>13</v>
      </c>
      <c r="N291" s="124" t="n">
        <v>26</v>
      </c>
      <c r="O291" s="124" t="n">
        <v>2</v>
      </c>
      <c r="P291" s="124" t="n">
        <v>21</v>
      </c>
      <c r="Q291" s="124" t="n">
        <v>60</v>
      </c>
      <c r="R291" s="124" t="n">
        <v>34</v>
      </c>
      <c r="S291" s="124" t="n">
        <v>68</v>
      </c>
      <c r="T291" s="124" t="n">
        <v>0</v>
      </c>
      <c r="U291" s="124" t="n"/>
      <c r="V291" s="124" t="n"/>
      <c r="W291" s="125">
        <f t="array" ref="W291">SUM(I291:V291)</f>
        <v/>
      </c>
      <c r="X291" s="126" t="n">
        <v>0</v>
      </c>
      <c r="Y291" s="125">
        <f t="array" ref="Y291">W291+X291</f>
        <v/>
      </c>
      <c r="Z291" s="125">
        <f t="array" ref="Z291">G291-Y291</f>
        <v/>
      </c>
      <c r="AA291" s="121">
        <f t="array" ref="AA291">ROUND(W291*H291,2)</f>
        <v/>
      </c>
      <c r="AB291" s="127">
        <f t="array" ref="AB291">ROUND(X291*H291,2)</f>
        <v/>
      </c>
      <c r="AC291" s="121">
        <f t="array" ref="AC291">ROUND(AA291+AB291,2)</f>
        <v/>
      </c>
      <c r="AD291" s="127">
        <f t="array" ref="AD291">ROUND((G291*H291)-AC291,2)</f>
        <v/>
      </c>
      <c r="AE291" s="54">
        <f t="array" ref="AE291">_xlfn.IFERROR(ROUND(AC291/(G291*H291),2),0)</f>
        <v/>
      </c>
      <c r="AF291" s="7" t="n"/>
      <c r="AG291" s="7" t="n"/>
      <c r="AH291" s="7" t="n"/>
      <c r="AI291" s="7" t="n"/>
      <c r="AJ291" s="7" t="n"/>
      <c r="AK291" s="7" t="n"/>
      <c r="AL291" s="7" t="n"/>
    </row>
    <row r="292" ht="67.8" customHeight="1" s="104">
      <c r="A292" s="81" t="inlineStr">
        <is>
          <t>TOTAL</t>
        </is>
      </c>
      <c r="B292" s="140" t="n"/>
      <c r="C292" s="141" t="n"/>
      <c r="D292" s="141" t="n"/>
      <c r="E292" s="141" t="n"/>
      <c r="F292" s="141" t="n"/>
      <c r="G292" s="141" t="n"/>
      <c r="H292" s="142" t="n"/>
      <c r="I292" s="143" t="n">
        <v>0</v>
      </c>
      <c r="J292" s="144" t="n">
        <v>0</v>
      </c>
      <c r="K292" s="145" t="n">
        <v>0</v>
      </c>
      <c r="L292" s="145" t="n">
        <v>0</v>
      </c>
      <c r="M292" s="145" t="n">
        <v>0</v>
      </c>
      <c r="N292" s="145" t="n">
        <v>0</v>
      </c>
      <c r="O292" s="145" t="n">
        <v>0</v>
      </c>
      <c r="P292" s="145" t="n">
        <v>0</v>
      </c>
      <c r="Q292" s="145" t="n">
        <v>0</v>
      </c>
      <c r="R292" s="145" t="n">
        <v>0</v>
      </c>
      <c r="S292" s="145" t="n">
        <v>0</v>
      </c>
      <c r="T292" s="145" t="n">
        <v>0</v>
      </c>
      <c r="U292" s="145" t="n"/>
      <c r="V292" s="145" t="n">
        <v>0</v>
      </c>
      <c r="W292" s="146">
        <f t="array" ref="W292">SUM(I292:U292)</f>
        <v/>
      </c>
      <c r="X292" s="147" t="n">
        <v>0</v>
      </c>
      <c r="Y292" s="147" t="n"/>
      <c r="Z292" s="148" t="n"/>
      <c r="AA292" s="149">
        <f t="array" ref="AA292">SUM(AA16:AA291)</f>
        <v/>
      </c>
      <c r="AB292" s="149">
        <f t="array" ref="AB292">SUM(AB16:AB291)</f>
        <v/>
      </c>
      <c r="AC292" s="149">
        <f t="array" ref="AC292">SUM(AC16:AC291)</f>
        <v/>
      </c>
      <c r="AD292" s="92" t="n"/>
      <c r="AE292" s="93" t="n"/>
      <c r="AF292" s="7" t="n"/>
      <c r="AG292" s="7" t="n"/>
      <c r="AH292" s="7" t="n"/>
      <c r="AI292" s="7" t="n"/>
      <c r="AJ292" s="7" t="n"/>
      <c r="AK292" s="7" t="n"/>
      <c r="AL292" s="7" t="n"/>
    </row>
    <row r="293" ht="67.2" customHeight="1" s="104">
      <c r="A293" s="94" t="n"/>
      <c r="B293" s="95" t="n"/>
      <c r="C293" s="96" t="n"/>
      <c r="D293" s="96" t="n"/>
      <c r="E293" s="96" t="n"/>
      <c r="F293" s="96" t="n"/>
      <c r="G293" s="96" t="n"/>
      <c r="H293" s="94" t="n"/>
      <c r="I293" s="94" t="n"/>
      <c r="J293" s="94" t="n"/>
      <c r="K293" s="94" t="n"/>
      <c r="L293" s="94" t="n"/>
      <c r="M293" s="94" t="n"/>
      <c r="N293" s="94" t="n"/>
      <c r="O293" s="94" t="n"/>
      <c r="P293" s="94" t="n"/>
      <c r="Q293" s="94" t="n"/>
      <c r="R293" s="94" t="n"/>
      <c r="S293" s="94" t="n"/>
      <c r="T293" s="94" t="n"/>
      <c r="U293" s="94" t="n"/>
      <c r="V293" s="94" t="n"/>
      <c r="W293" s="96" t="n"/>
      <c r="X293" s="96" t="n"/>
      <c r="Y293" s="96" t="n"/>
      <c r="Z293" s="96" t="n"/>
      <c r="AA293" s="96" t="n"/>
      <c r="AB293" s="96" t="n"/>
      <c r="AC293" s="94" t="n"/>
      <c r="AD293" s="96" t="n"/>
      <c r="AE293" s="96" t="n"/>
      <c r="AF293" s="7" t="n"/>
      <c r="AG293" s="7" t="n"/>
      <c r="AH293" s="7" t="n"/>
      <c r="AI293" s="7" t="n"/>
      <c r="AJ293" s="7" t="n"/>
      <c r="AK293" s="7" t="n"/>
      <c r="AL293" s="7" t="n"/>
    </row>
    <row r="294" ht="67.8" customHeight="1" s="104">
      <c r="A294" s="97" t="n"/>
      <c r="B294" s="98" t="n"/>
      <c r="C294" s="99" t="n"/>
      <c r="D294" s="99" t="n"/>
      <c r="E294" s="99" t="n"/>
      <c r="F294" s="99" t="n"/>
      <c r="G294" s="99" t="n"/>
      <c r="H294" s="97" t="n"/>
      <c r="I294" s="97" t="n"/>
      <c r="J294" s="97" t="n"/>
      <c r="K294" s="97" t="n"/>
      <c r="L294" s="97" t="n"/>
      <c r="M294" s="97" t="n"/>
      <c r="N294" s="97" t="n"/>
      <c r="O294" s="97" t="n"/>
      <c r="P294" s="97" t="n"/>
      <c r="Q294" s="97" t="n"/>
      <c r="R294" s="97" t="n"/>
      <c r="S294" s="97" t="n"/>
      <c r="T294" s="97" t="n"/>
      <c r="U294" s="97" t="n"/>
      <c r="V294" s="97" t="n"/>
      <c r="W294" s="99" t="n"/>
      <c r="X294" s="99" t="n"/>
      <c r="Y294" s="99" t="n"/>
      <c r="Z294" s="99" t="n"/>
      <c r="AA294" s="99" t="n"/>
      <c r="AB294" s="99" t="n"/>
      <c r="AC294" s="97" t="n"/>
      <c r="AD294" s="99" t="n"/>
      <c r="AE294" s="99" t="n"/>
      <c r="AF294" s="7" t="n"/>
      <c r="AG294" s="7" t="n"/>
      <c r="AH294" s="7" t="n"/>
      <c r="AI294" s="7" t="n"/>
      <c r="AJ294" s="7" t="n"/>
      <c r="AK294" s="7" t="n"/>
      <c r="AL294" s="7" t="n"/>
    </row>
    <row r="295" ht="67.8" customHeight="1" s="104">
      <c r="A295" s="100" t="inlineStr">
        <is>
          <t>X</t>
        </is>
      </c>
      <c r="B295" s="101" t="inlineStr">
        <is>
          <t>X</t>
        </is>
      </c>
      <c r="C295" s="101" t="inlineStr">
        <is>
          <t>X</t>
        </is>
      </c>
      <c r="D295" s="101" t="inlineStr">
        <is>
          <t>X</t>
        </is>
      </c>
      <c r="E295" s="101" t="inlineStr">
        <is>
          <t>X</t>
        </is>
      </c>
      <c r="F295" s="102" t="n"/>
      <c r="G295" s="101" t="inlineStr">
        <is>
          <t>X</t>
        </is>
      </c>
      <c r="H295" s="101" t="inlineStr">
        <is>
          <t>X</t>
        </is>
      </c>
      <c r="I295" s="101" t="inlineStr">
        <is>
          <t>X</t>
        </is>
      </c>
      <c r="J295" s="101" t="inlineStr">
        <is>
          <t>X</t>
        </is>
      </c>
      <c r="K295" s="101" t="inlineStr">
        <is>
          <t>X</t>
        </is>
      </c>
      <c r="L295" s="101" t="inlineStr">
        <is>
          <t>X</t>
        </is>
      </c>
      <c r="M295" s="101" t="inlineStr">
        <is>
          <t>X</t>
        </is>
      </c>
      <c r="N295" s="101" t="inlineStr">
        <is>
          <t>X</t>
        </is>
      </c>
      <c r="O295" s="101" t="inlineStr">
        <is>
          <t>X</t>
        </is>
      </c>
      <c r="P295" s="101" t="inlineStr">
        <is>
          <t>X</t>
        </is>
      </c>
      <c r="Q295" s="101" t="inlineStr">
        <is>
          <t>X</t>
        </is>
      </c>
      <c r="R295" s="101" t="inlineStr">
        <is>
          <t>X</t>
        </is>
      </c>
      <c r="S295" s="101" t="inlineStr">
        <is>
          <t>X</t>
        </is>
      </c>
      <c r="T295" s="101" t="inlineStr">
        <is>
          <t>X</t>
        </is>
      </c>
      <c r="U295" s="101" t="inlineStr">
        <is>
          <t>X</t>
        </is>
      </c>
      <c r="V295" s="102" t="n"/>
      <c r="W295" s="101" t="inlineStr">
        <is>
          <t>X</t>
        </is>
      </c>
      <c r="X295" s="101" t="inlineStr">
        <is>
          <t>X</t>
        </is>
      </c>
      <c r="Y295" s="101" t="inlineStr">
        <is>
          <t>X</t>
        </is>
      </c>
      <c r="Z295" s="101" t="inlineStr">
        <is>
          <t>X</t>
        </is>
      </c>
      <c r="AA295" s="101" t="inlineStr">
        <is>
          <t>X</t>
        </is>
      </c>
      <c r="AB295" s="101" t="inlineStr">
        <is>
          <t>X</t>
        </is>
      </c>
      <c r="AC295" s="101" t="inlineStr">
        <is>
          <t>X</t>
        </is>
      </c>
      <c r="AD295" s="101" t="inlineStr">
        <is>
          <t>X</t>
        </is>
      </c>
      <c r="AE295" s="103" t="inlineStr">
        <is>
          <t>X</t>
        </is>
      </c>
      <c r="AF295" s="36" t="n"/>
      <c r="AG295" s="7" t="n"/>
      <c r="AH295" s="7" t="n"/>
      <c r="AI295" s="7" t="n"/>
      <c r="AJ295" s="7" t="n"/>
      <c r="AK295" s="7" t="n"/>
      <c r="AL295" s="7" t="n"/>
    </row>
  </sheetData>
  <mergeCells count="45">
    <mergeCell ref="J13:J14"/>
    <mergeCell ref="L13:L14"/>
    <mergeCell ref="R13:R14"/>
    <mergeCell ref="V13:V14"/>
    <mergeCell ref="E13:E14"/>
    <mergeCell ref="G13:G14"/>
    <mergeCell ref="B2:B3"/>
    <mergeCell ref="AA13:AE13"/>
    <mergeCell ref="AC4:AE4"/>
    <mergeCell ref="C4:AA5"/>
    <mergeCell ref="C2:AE3"/>
    <mergeCell ref="B1:AE1"/>
    <mergeCell ref="W13:Z13"/>
    <mergeCell ref="M13:M14"/>
    <mergeCell ref="B13:B14"/>
    <mergeCell ref="S13:S14"/>
    <mergeCell ref="C10:AA11"/>
    <mergeCell ref="D13:D14"/>
    <mergeCell ref="U13:U14"/>
    <mergeCell ref="A292:B292"/>
    <mergeCell ref="AB7:AB8"/>
    <mergeCell ref="F13:F14"/>
    <mergeCell ref="A1:A3"/>
    <mergeCell ref="H13:H14"/>
    <mergeCell ref="N13:N14"/>
    <mergeCell ref="C6:AA6"/>
    <mergeCell ref="B9:B12"/>
    <mergeCell ref="P13:P14"/>
    <mergeCell ref="A13:A14"/>
    <mergeCell ref="A4:A5"/>
    <mergeCell ref="AC5:AE6"/>
    <mergeCell ref="T13:T14"/>
    <mergeCell ref="I13:I14"/>
    <mergeCell ref="K13:K14"/>
    <mergeCell ref="C12:AE12"/>
    <mergeCell ref="AC8:AE11"/>
    <mergeCell ref="C13:C14"/>
    <mergeCell ref="AC7:AE7"/>
    <mergeCell ref="AB10:AB11"/>
    <mergeCell ref="C7:AA8"/>
    <mergeCell ref="B4:B5"/>
    <mergeCell ref="O13:O14"/>
    <mergeCell ref="Q13:Q14"/>
    <mergeCell ref="C9:AA9"/>
    <mergeCell ref="B7:B8"/>
  </mergeCells>
  <conditionalFormatting sqref="Z1:Z9 Z14">
    <cfRule type="cellIs" priority="1" operator="lessThan" dxfId="0" stopIfTrue="1">
      <formula>0</formula>
    </cfRule>
  </conditionalFormatting>
  <conditionalFormatting sqref="A10 A12 AI20">
    <cfRule type="cellIs" priority="1" operator="lessThan" dxfId="1" stopIfTrue="1">
      <formula>0</formula>
    </cfRule>
  </conditionalFormatting>
  <pageMargins left="0.511811" right="0.511811" top="0.590551" bottom="1.06299" header="0.314961" footer="0.314961"/>
  <pageSetup orientation="landscape" scale="25" fitToHeight="1" fitToWidth="1" firstPageNumber="1" useFirstPageNumber="0" pageOrder="downThenOver"/>
  <headerFooter>
    <oddHeader/>
    <oddFooter>&amp;R&amp;"Arial,Regular"&amp;14 &amp;K000000&amp;P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2026-05-13T00:02:20Z</dcterms:created>
  <dcterms:modified xsi:type="dcterms:W3CDTF">2026-05-13T00:02:20Z</dcterms:modified>
</cp:coreProperties>
</file>