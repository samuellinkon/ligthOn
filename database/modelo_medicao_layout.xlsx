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EIP\Downloads\"/>
    </mc:Choice>
  </mc:AlternateContent>
  <xr:revisionPtr revIDLastSave="0" documentId="8_{C8B85319-EE84-43B9-93C7-F5E72863C9CC}" xr6:coauthVersionLast="47" xr6:coauthVersionMax="47" xr10:uidLastSave="{00000000-0000-0000-0000-000000000000}"/>
  <bookViews>
    <workbookView xWindow="-108" yWindow="-108" windowWidth="23256" windowHeight="12456" tabRatio="634" xr2:uid="{00000000-000D-0000-FFFF-FFFF00000000}"/>
  </bookViews>
  <sheets>
    <sheet name="MEDIÇÃO 39" sheetId="18" r:id="rId1"/>
  </sheets>
  <definedNames>
    <definedName name="_FilterDatabase" localSheetId="0" hidden="1">'MEDIÇÃO 39'!$A$13:$Q$292</definedName>
    <definedName name="_xlnm._FilterDatabase" localSheetId="0" hidden="1">'MEDIÇÃO 39'!$A$14:$X$292</definedName>
    <definedName name="_xlnm.Print_Area" localSheetId="0">'MEDIÇÃO 39'!$A$1:$Q$296</definedName>
    <definedName name="Print_Area" localSheetId="0">'MEDIÇÃO 39'!$A$1:$Q$292</definedName>
    <definedName name="Print_Titles" localSheetId="0">'MEDIÇÃO 39'!$1:$14</definedName>
    <definedName name="_xlnm.Print_Titles" localSheetId="0">'MEDIÇÃO 39'!$1:$14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4" i="18" l="1"/>
  <c r="J16" i="18"/>
  <c r="J291" i="18" l="1"/>
  <c r="A10" i="18" l="1"/>
  <c r="I290" i="18" l="1"/>
  <c r="I291" i="18"/>
  <c r="I288"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6" i="18"/>
  <c r="J20" i="18" l="1"/>
  <c r="J22" i="18"/>
  <c r="J290" i="18" l="1"/>
  <c r="N290" i="18" s="1"/>
  <c r="N291"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8" i="18"/>
  <c r="G290" i="18"/>
  <c r="G291" i="18"/>
  <c r="G16" i="18"/>
  <c r="K291" i="18" l="1"/>
  <c r="L291" i="18" s="1"/>
  <c r="K290" i="18"/>
  <c r="L290" i="18" s="1"/>
  <c r="M291" i="18"/>
  <c r="O291" i="18" s="1"/>
  <c r="M290" i="18"/>
  <c r="O290" i="18" s="1"/>
  <c r="P291" i="18" l="1"/>
  <c r="Q291" i="18"/>
  <c r="P290" i="18"/>
  <c r="Q290" i="18"/>
  <c r="I292" i="18"/>
  <c r="J18" i="18" l="1"/>
  <c r="J283" i="18" l="1"/>
  <c r="J126" i="18" l="1"/>
  <c r="J72" i="18" l="1"/>
  <c r="J40" i="18" l="1"/>
  <c r="J19" i="18" l="1"/>
  <c r="J21" i="18"/>
  <c r="J23" i="18"/>
  <c r="J24" i="18"/>
  <c r="J25" i="18"/>
  <c r="J26" i="18"/>
  <c r="J27" i="18"/>
  <c r="J28" i="18"/>
  <c r="J29" i="18"/>
  <c r="J30" i="18"/>
  <c r="J31" i="18"/>
  <c r="J32" i="18"/>
  <c r="J33" i="18"/>
  <c r="J34" i="18"/>
  <c r="J35" i="18"/>
  <c r="J36" i="18"/>
  <c r="J37" i="18"/>
  <c r="J38" i="18"/>
  <c r="J39"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4" i="18"/>
  <c r="J105" i="18"/>
  <c r="J106" i="18"/>
  <c r="J107" i="18"/>
  <c r="J108" i="18"/>
  <c r="J109" i="18"/>
  <c r="J110" i="18"/>
  <c r="J111" i="18"/>
  <c r="J112" i="18"/>
  <c r="J113" i="18"/>
  <c r="K113" i="18" s="1"/>
  <c r="J114" i="18"/>
  <c r="J115" i="18"/>
  <c r="J116" i="18"/>
  <c r="J117" i="18"/>
  <c r="J118" i="18"/>
  <c r="J119" i="18"/>
  <c r="J120" i="18"/>
  <c r="J121" i="18"/>
  <c r="J122" i="18"/>
  <c r="J123" i="18"/>
  <c r="J124" i="18"/>
  <c r="J125"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H16" i="18" l="1"/>
  <c r="H288" i="18"/>
  <c r="H286" i="18"/>
  <c r="H285" i="18"/>
  <c r="H284" i="18"/>
  <c r="H283" i="18"/>
  <c r="H282" i="18"/>
  <c r="H281" i="18"/>
  <c r="H280" i="18"/>
  <c r="H279" i="18"/>
  <c r="H278" i="18"/>
  <c r="H277" i="18"/>
  <c r="H276" i="18"/>
  <c r="H275" i="18"/>
  <c r="H274" i="18"/>
  <c r="H273" i="18"/>
  <c r="H272" i="18"/>
  <c r="H271" i="18"/>
  <c r="H270" i="18"/>
  <c r="H269" i="18"/>
  <c r="H268" i="18"/>
  <c r="H267" i="18"/>
  <c r="H266" i="18"/>
  <c r="H265" i="18"/>
  <c r="H264" i="18"/>
  <c r="H263" i="18"/>
  <c r="H262" i="18"/>
  <c r="H261" i="18"/>
  <c r="H260" i="18"/>
  <c r="H259"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M111" i="18" s="1"/>
  <c r="H110" i="18"/>
  <c r="H109" i="18"/>
  <c r="H108" i="18"/>
  <c r="H107" i="18"/>
  <c r="H106" i="18"/>
  <c r="H105" i="18"/>
  <c r="H104"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N115" i="18" l="1"/>
  <c r="M16" i="18"/>
  <c r="N16" i="18"/>
  <c r="J284" i="18"/>
  <c r="O16" i="18" l="1"/>
  <c r="J288" i="18"/>
  <c r="A12" i="18" l="1"/>
  <c r="N18" i="18"/>
  <c r="N19" i="18"/>
  <c r="N20" i="18"/>
  <c r="N21" i="18"/>
  <c r="N22" i="18"/>
  <c r="N23" i="18"/>
  <c r="N24" i="18"/>
  <c r="N25" i="18"/>
  <c r="N26" i="18"/>
  <c r="N27" i="18"/>
  <c r="N28" i="18"/>
  <c r="N29" i="18"/>
  <c r="N30" i="18"/>
  <c r="N32" i="18"/>
  <c r="N34" i="18"/>
  <c r="N35" i="18"/>
  <c r="N36" i="18"/>
  <c r="N37" i="18"/>
  <c r="N38" i="18"/>
  <c r="N39" i="18"/>
  <c r="N40" i="18"/>
  <c r="N41" i="18"/>
  <c r="N42" i="18"/>
  <c r="N43" i="18"/>
  <c r="N44" i="18"/>
  <c r="N45" i="18"/>
  <c r="N46" i="18"/>
  <c r="N47" i="18"/>
  <c r="N48" i="18"/>
  <c r="N49" i="18"/>
  <c r="N50" i="18"/>
  <c r="N52" i="18"/>
  <c r="N53" i="18"/>
  <c r="N54"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2" i="18"/>
  <c r="N93" i="18"/>
  <c r="N95" i="18"/>
  <c r="N96" i="18"/>
  <c r="N97" i="18"/>
  <c r="N98" i="18"/>
  <c r="N99" i="18"/>
  <c r="N100" i="18"/>
  <c r="N101" i="18"/>
  <c r="N102" i="18"/>
  <c r="N104" i="18"/>
  <c r="N105" i="18"/>
  <c r="N106" i="18"/>
  <c r="N107" i="18"/>
  <c r="N108" i="18"/>
  <c r="N109" i="18"/>
  <c r="N110" i="18"/>
  <c r="N111" i="18"/>
  <c r="N113" i="18"/>
  <c r="N114" i="18"/>
  <c r="N116" i="18"/>
  <c r="N117" i="18"/>
  <c r="N118" i="18"/>
  <c r="N119" i="18"/>
  <c r="N120" i="18"/>
  <c r="N121" i="18"/>
  <c r="N122" i="18"/>
  <c r="N123" i="18"/>
  <c r="N124" i="18"/>
  <c r="N125" i="18"/>
  <c r="N128" i="18"/>
  <c r="N129" i="18"/>
  <c r="N130" i="18"/>
  <c r="N131" i="18"/>
  <c r="N133" i="18"/>
  <c r="N137" i="18"/>
  <c r="N138" i="18"/>
  <c r="N140" i="18"/>
  <c r="N141" i="18"/>
  <c r="N142" i="18"/>
  <c r="N143" i="18"/>
  <c r="N144" i="18"/>
  <c r="N145" i="18"/>
  <c r="N146" i="18"/>
  <c r="N147" i="18"/>
  <c r="N148" i="18"/>
  <c r="N149" i="18"/>
  <c r="N150" i="18"/>
  <c r="N151" i="18"/>
  <c r="N152" i="18"/>
  <c r="N153" i="18"/>
  <c r="N156" i="18"/>
  <c r="N158" i="18"/>
  <c r="N159" i="18"/>
  <c r="N160" i="18"/>
  <c r="N161" i="18"/>
  <c r="N162" i="18"/>
  <c r="N163" i="18"/>
  <c r="N164" i="18"/>
  <c r="N165" i="18"/>
  <c r="N166" i="18"/>
  <c r="N167" i="18"/>
  <c r="N168" i="18"/>
  <c r="N169" i="18"/>
  <c r="N170" i="18"/>
  <c r="N171" i="18"/>
  <c r="N173" i="18"/>
  <c r="N174" i="18"/>
  <c r="N175" i="18"/>
  <c r="N176" i="18"/>
  <c r="N177" i="18"/>
  <c r="N178" i="18"/>
  <c r="N179" i="18"/>
  <c r="N180" i="18"/>
  <c r="N181" i="18"/>
  <c r="N182" i="18"/>
  <c r="N183" i="18"/>
  <c r="N184" i="18"/>
  <c r="N185" i="18"/>
  <c r="N186" i="18"/>
  <c r="N187" i="18"/>
  <c r="N188" i="18"/>
  <c r="N189" i="18"/>
  <c r="N190" i="18"/>
  <c r="N191" i="18"/>
  <c r="N193" i="18"/>
  <c r="N194" i="18"/>
  <c r="N195" i="18"/>
  <c r="N196" i="18"/>
  <c r="N197" i="18"/>
  <c r="N198" i="18"/>
  <c r="N199" i="18"/>
  <c r="N200" i="18"/>
  <c r="N201" i="18"/>
  <c r="N202" i="18"/>
  <c r="N203" i="18"/>
  <c r="N204" i="18"/>
  <c r="N205" i="18"/>
  <c r="N206" i="18"/>
  <c r="N207" i="18"/>
  <c r="N208" i="18"/>
  <c r="N209" i="18"/>
  <c r="N210" i="18"/>
  <c r="N211" i="18"/>
  <c r="N213" i="18"/>
  <c r="N214" i="18"/>
  <c r="N215" i="18"/>
  <c r="N216" i="18"/>
  <c r="N217" i="18"/>
  <c r="N218" i="18"/>
  <c r="N219" i="18"/>
  <c r="N220" i="18"/>
  <c r="N221" i="18"/>
  <c r="N222" i="18"/>
  <c r="N223" i="18"/>
  <c r="N224" i="18"/>
  <c r="N225" i="18"/>
  <c r="N226" i="18"/>
  <c r="N227" i="18"/>
  <c r="N228" i="18"/>
  <c r="N229" i="18"/>
  <c r="N230" i="18"/>
  <c r="N231" i="18"/>
  <c r="N233" i="18"/>
  <c r="N234" i="18"/>
  <c r="N235" i="18"/>
  <c r="N236" i="18"/>
  <c r="N237" i="18"/>
  <c r="N238" i="18"/>
  <c r="N239" i="18"/>
  <c r="N240" i="18"/>
  <c r="N241" i="18"/>
  <c r="N242" i="18"/>
  <c r="N243" i="18"/>
  <c r="N244" i="18"/>
  <c r="N245" i="18"/>
  <c r="N246" i="18"/>
  <c r="N248" i="18"/>
  <c r="N249" i="18"/>
  <c r="N250" i="18"/>
  <c r="N251" i="18"/>
  <c r="N253" i="18"/>
  <c r="N254" i="18"/>
  <c r="J255" i="18"/>
  <c r="J256" i="18"/>
  <c r="N256" i="18" s="1"/>
  <c r="J257" i="18"/>
  <c r="N257" i="18" s="1"/>
  <c r="J258" i="18"/>
  <c r="N258" i="18" s="1"/>
  <c r="J259" i="18"/>
  <c r="N259" i="18" s="1"/>
  <c r="J260" i="18"/>
  <c r="N260" i="18" s="1"/>
  <c r="J261" i="18"/>
  <c r="N261" i="18" s="1"/>
  <c r="J262" i="18"/>
  <c r="N262" i="18" s="1"/>
  <c r="J263" i="18"/>
  <c r="N263" i="18" s="1"/>
  <c r="J264" i="18"/>
  <c r="N264" i="18" s="1"/>
  <c r="J265" i="18"/>
  <c r="N265" i="18" s="1"/>
  <c r="J266" i="18"/>
  <c r="N266" i="18" s="1"/>
  <c r="J267" i="18"/>
  <c r="N267" i="18" s="1"/>
  <c r="J268" i="18"/>
  <c r="N268" i="18" s="1"/>
  <c r="J269" i="18"/>
  <c r="N269" i="18" s="1"/>
  <c r="J270" i="18"/>
  <c r="N270" i="18" s="1"/>
  <c r="J271" i="18"/>
  <c r="N271" i="18" s="1"/>
  <c r="J272" i="18"/>
  <c r="J273" i="18"/>
  <c r="N273" i="18" s="1"/>
  <c r="J274" i="18"/>
  <c r="N274" i="18" s="1"/>
  <c r="J275" i="18"/>
  <c r="N275" i="18" s="1"/>
  <c r="J276" i="18"/>
  <c r="N276" i="18" s="1"/>
  <c r="J277" i="18"/>
  <c r="N277" i="18" s="1"/>
  <c r="J278" i="18"/>
  <c r="J279" i="18"/>
  <c r="N279" i="18" s="1"/>
  <c r="J280" i="18"/>
  <c r="N280" i="18" s="1"/>
  <c r="J281" i="18"/>
  <c r="N281" i="18" s="1"/>
  <c r="J282" i="18"/>
  <c r="N282" i="18" s="1"/>
  <c r="N283" i="18"/>
  <c r="J285" i="18"/>
  <c r="N285" i="18" s="1"/>
  <c r="J286" i="18"/>
  <c r="N286" i="18" s="1"/>
  <c r="N288" i="18"/>
  <c r="J292" i="18"/>
  <c r="M23" i="18"/>
  <c r="M26" i="18"/>
  <c r="M30" i="18"/>
  <c r="M31" i="18"/>
  <c r="M33" i="18"/>
  <c r="M34" i="18"/>
  <c r="M36" i="18"/>
  <c r="M39" i="18"/>
  <c r="M48" i="18"/>
  <c r="M51" i="18"/>
  <c r="M52" i="18"/>
  <c r="M54" i="18"/>
  <c r="M55" i="18"/>
  <c r="M58" i="18"/>
  <c r="M61" i="18"/>
  <c r="M62" i="18"/>
  <c r="M63" i="18"/>
  <c r="M64" i="18"/>
  <c r="M69" i="18"/>
  <c r="M71" i="18"/>
  <c r="M72" i="18"/>
  <c r="M73" i="18"/>
  <c r="M75" i="18"/>
  <c r="M76" i="18"/>
  <c r="M79" i="18"/>
  <c r="M91" i="18"/>
  <c r="M94" i="18"/>
  <c r="M95" i="18"/>
  <c r="M96" i="18"/>
  <c r="M97" i="18"/>
  <c r="M98" i="18"/>
  <c r="M108" i="18"/>
  <c r="M112" i="18"/>
  <c r="M113" i="18"/>
  <c r="M115" i="18"/>
  <c r="M116" i="18"/>
  <c r="M117" i="18"/>
  <c r="M118" i="18"/>
  <c r="M125" i="18"/>
  <c r="M130" i="18"/>
  <c r="M132" i="18"/>
  <c r="M133" i="18"/>
  <c r="M134" i="18"/>
  <c r="M135" i="18"/>
  <c r="M136" i="18"/>
  <c r="M138" i="18"/>
  <c r="M147" i="18"/>
  <c r="M152" i="18"/>
  <c r="M154" i="18"/>
  <c r="M155" i="18"/>
  <c r="M156" i="18"/>
  <c r="M157" i="18"/>
  <c r="M164" i="18"/>
  <c r="M167" i="18"/>
  <c r="M172" i="18"/>
  <c r="M174" i="18"/>
  <c r="M175" i="18"/>
  <c r="M176" i="18"/>
  <c r="M179" i="18"/>
  <c r="M180" i="18"/>
  <c r="M183" i="18"/>
  <c r="M184" i="18"/>
  <c r="M187" i="18"/>
  <c r="M189" i="18"/>
  <c r="M191" i="18"/>
  <c r="M192" i="18"/>
  <c r="M195" i="18"/>
  <c r="M196" i="18"/>
  <c r="M197" i="18"/>
  <c r="M198" i="18"/>
  <c r="M211" i="18"/>
  <c r="M212" i="18"/>
  <c r="M214" i="18"/>
  <c r="M215" i="18"/>
  <c r="M216" i="18"/>
  <c r="M217" i="18"/>
  <c r="M218" i="18"/>
  <c r="M221" i="18"/>
  <c r="M229" i="18"/>
  <c r="M232" i="18"/>
  <c r="M235" i="18"/>
  <c r="M236" i="18"/>
  <c r="M247" i="18"/>
  <c r="M252" i="18"/>
  <c r="M254" i="18"/>
  <c r="M255" i="18"/>
  <c r="M256" i="18"/>
  <c r="M257" i="18"/>
  <c r="M258" i="18"/>
  <c r="M260" i="18"/>
  <c r="M261" i="18"/>
  <c r="M262" i="18"/>
  <c r="M263" i="18"/>
  <c r="M264" i="18"/>
  <c r="M267" i="18"/>
  <c r="M272" i="18"/>
  <c r="M275" i="18"/>
  <c r="M276" i="18"/>
  <c r="M277" i="18"/>
  <c r="M278" i="18"/>
  <c r="M279" i="18"/>
  <c r="M280" i="18"/>
  <c r="M281" i="18"/>
  <c r="M283" i="18"/>
  <c r="M284" i="18"/>
  <c r="M288" i="18"/>
  <c r="N139" i="18" l="1"/>
  <c r="N127" i="18"/>
  <c r="N126" i="18"/>
  <c r="O147" i="18"/>
  <c r="K127" i="18"/>
  <c r="L127" i="18" s="1"/>
  <c r="O26" i="18"/>
  <c r="Q26" i="18" s="1"/>
  <c r="O175" i="18"/>
  <c r="O189" i="18"/>
  <c r="O34" i="18"/>
  <c r="P34" i="18" s="1"/>
  <c r="O211" i="18"/>
  <c r="P211" i="18" s="1"/>
  <c r="O215" i="18"/>
  <c r="P215" i="18" s="1"/>
  <c r="K278" i="18"/>
  <c r="L278" i="18" s="1"/>
  <c r="O187" i="18"/>
  <c r="K58" i="18"/>
  <c r="L58" i="18" s="1"/>
  <c r="O256" i="18"/>
  <c r="P256" i="18" s="1"/>
  <c r="O176" i="18"/>
  <c r="P176" i="18" s="1"/>
  <c r="O116" i="18"/>
  <c r="Q116" i="18" s="1"/>
  <c r="K48" i="18"/>
  <c r="L48" i="18" s="1"/>
  <c r="O167" i="18"/>
  <c r="O216" i="18"/>
  <c r="M70" i="18"/>
  <c r="O70" i="18" s="1"/>
  <c r="Q70" i="18" s="1"/>
  <c r="K70" i="18"/>
  <c r="L70" i="18" s="1"/>
  <c r="O125" i="18"/>
  <c r="Q125" i="18" s="1"/>
  <c r="M74" i="18"/>
  <c r="O74" i="18" s="1"/>
  <c r="Q74" i="18" s="1"/>
  <c r="K74" i="18"/>
  <c r="L74" i="18" s="1"/>
  <c r="K258" i="18"/>
  <c r="L258" i="18" s="1"/>
  <c r="N278" i="18"/>
  <c r="O278" i="18" s="1"/>
  <c r="P278" i="18" s="1"/>
  <c r="K256" i="18"/>
  <c r="L256" i="18" s="1"/>
  <c r="O264" i="18"/>
  <c r="O184" i="18"/>
  <c r="P184" i="18" s="1"/>
  <c r="O164" i="18"/>
  <c r="K144" i="18"/>
  <c r="L144" i="18" s="1"/>
  <c r="K124" i="18"/>
  <c r="L124" i="18" s="1"/>
  <c r="O23" i="18"/>
  <c r="Q23" i="18" s="1"/>
  <c r="K135" i="18"/>
  <c r="L135" i="18" s="1"/>
  <c r="K196" i="18"/>
  <c r="L196" i="18" s="1"/>
  <c r="N135" i="18"/>
  <c r="O135" i="18" s="1"/>
  <c r="O283" i="18"/>
  <c r="O263" i="18"/>
  <c r="K223" i="18"/>
  <c r="L223" i="18" s="1"/>
  <c r="O183" i="18"/>
  <c r="K143" i="18"/>
  <c r="L143" i="18" s="1"/>
  <c r="K123" i="18"/>
  <c r="L123" i="18" s="1"/>
  <c r="K42" i="18"/>
  <c r="L42" i="18" s="1"/>
  <c r="K187" i="18"/>
  <c r="L187" i="18" s="1"/>
  <c r="O262" i="18"/>
  <c r="K101" i="18"/>
  <c r="L101" i="18" s="1"/>
  <c r="O61" i="18"/>
  <c r="Q61" i="18" s="1"/>
  <c r="K21" i="18"/>
  <c r="L21" i="18" s="1"/>
  <c r="K184" i="18"/>
  <c r="L184" i="18" s="1"/>
  <c r="O221" i="18"/>
  <c r="K252" i="18"/>
  <c r="L252" i="18" s="1"/>
  <c r="O71" i="18"/>
  <c r="Q71" i="18" s="1"/>
  <c r="K180" i="18"/>
  <c r="L180" i="18" s="1"/>
  <c r="O39" i="18"/>
  <c r="Q39" i="18" s="1"/>
  <c r="K179" i="18"/>
  <c r="L179" i="18" s="1"/>
  <c r="O279" i="18"/>
  <c r="P279" i="18" s="1"/>
  <c r="O98" i="18"/>
  <c r="Q98" i="18" s="1"/>
  <c r="K78" i="18"/>
  <c r="L78" i="18" s="1"/>
  <c r="O58" i="18"/>
  <c r="Q58" i="18" s="1"/>
  <c r="K96" i="18"/>
  <c r="L96" i="18" s="1"/>
  <c r="O258" i="18"/>
  <c r="P258" i="18" s="1"/>
  <c r="K95" i="18"/>
  <c r="L95" i="18" s="1"/>
  <c r="K217" i="18"/>
  <c r="L217" i="18" s="1"/>
  <c r="M144" i="18"/>
  <c r="O144" i="18" s="1"/>
  <c r="P144" i="18" s="1"/>
  <c r="M127" i="18"/>
  <c r="M243" i="18"/>
  <c r="O243" i="18" s="1"/>
  <c r="P243" i="18" s="1"/>
  <c r="K243" i="18"/>
  <c r="L243" i="18" s="1"/>
  <c r="M203" i="18"/>
  <c r="O203" i="18" s="1"/>
  <c r="P203" i="18" s="1"/>
  <c r="K203" i="18"/>
  <c r="L203" i="18" s="1"/>
  <c r="K163" i="18"/>
  <c r="L163" i="18" s="1"/>
  <c r="M163" i="18"/>
  <c r="O163" i="18" s="1"/>
  <c r="K102" i="18"/>
  <c r="L102" i="18" s="1"/>
  <c r="O115" i="18" s="1"/>
  <c r="P115" i="18" s="1"/>
  <c r="M102" i="18"/>
  <c r="O102" i="18" s="1"/>
  <c r="K22" i="18"/>
  <c r="L22" i="18" s="1"/>
  <c r="M22" i="18"/>
  <c r="O22" i="18" s="1"/>
  <c r="Q22" i="18" s="1"/>
  <c r="N154" i="18"/>
  <c r="O154" i="18" s="1"/>
  <c r="K154" i="18"/>
  <c r="L154" i="18" s="1"/>
  <c r="N134" i="18"/>
  <c r="O134" i="18" s="1"/>
  <c r="K134" i="18"/>
  <c r="L134" i="18" s="1"/>
  <c r="N33" i="18"/>
  <c r="O33" i="18" s="1"/>
  <c r="Q33" i="18" s="1"/>
  <c r="K33" i="18"/>
  <c r="L33" i="18" s="1"/>
  <c r="K263" i="18"/>
  <c r="L263" i="18" s="1"/>
  <c r="K81" i="18"/>
  <c r="L81" i="18" s="1"/>
  <c r="M81" i="18"/>
  <c r="O81" i="18" s="1"/>
  <c r="P81" i="18" s="1"/>
  <c r="M123" i="18"/>
  <c r="O123" i="18" s="1"/>
  <c r="M241" i="18"/>
  <c r="O241" i="18" s="1"/>
  <c r="K241" i="18"/>
  <c r="L241" i="18" s="1"/>
  <c r="N212" i="18"/>
  <c r="O212" i="18" s="1"/>
  <c r="P212" i="18" s="1"/>
  <c r="K212" i="18"/>
  <c r="L212" i="18" s="1"/>
  <c r="K183" i="18"/>
  <c r="L183" i="18" s="1"/>
  <c r="M223" i="18"/>
  <c r="O223" i="18" s="1"/>
  <c r="P223" i="18" s="1"/>
  <c r="M42" i="18"/>
  <c r="O42" i="18" s="1"/>
  <c r="Q42" i="18" s="1"/>
  <c r="O214" i="18"/>
  <c r="O152" i="18"/>
  <c r="K73" i="18"/>
  <c r="L73" i="18" s="1"/>
  <c r="O195" i="18"/>
  <c r="M227" i="18"/>
  <c r="O227" i="18" s="1"/>
  <c r="K227" i="18"/>
  <c r="L227" i="18" s="1"/>
  <c r="K207" i="18"/>
  <c r="L207" i="18" s="1"/>
  <c r="M207" i="18"/>
  <c r="O207" i="18" s="1"/>
  <c r="K107" i="18"/>
  <c r="L107" i="18" s="1"/>
  <c r="M107" i="18"/>
  <c r="O107" i="18" s="1"/>
  <c r="Q107" i="18" s="1"/>
  <c r="M86" i="18"/>
  <c r="O86" i="18" s="1"/>
  <c r="Q86" i="18" s="1"/>
  <c r="K86" i="18"/>
  <c r="L86" i="18" s="1"/>
  <c r="K66" i="18"/>
  <c r="L66" i="18" s="1"/>
  <c r="M66" i="18"/>
  <c r="O66" i="18" s="1"/>
  <c r="M46" i="18"/>
  <c r="O46" i="18" s="1"/>
  <c r="K46" i="18"/>
  <c r="L46" i="18" s="1"/>
  <c r="M106" i="18"/>
  <c r="O106" i="18" s="1"/>
  <c r="Q106" i="18" s="1"/>
  <c r="K106" i="18"/>
  <c r="L106" i="18" s="1"/>
  <c r="N157" i="18"/>
  <c r="O157" i="18" s="1"/>
  <c r="K157" i="18"/>
  <c r="L157" i="18" s="1"/>
  <c r="K283" i="18"/>
  <c r="L283" i="18" s="1"/>
  <c r="K245" i="18"/>
  <c r="L245" i="18" s="1"/>
  <c r="M245" i="18"/>
  <c r="O245" i="18" s="1"/>
  <c r="K185" i="18"/>
  <c r="L185" i="18" s="1"/>
  <c r="M185" i="18"/>
  <c r="O185" i="18" s="1"/>
  <c r="K145" i="18"/>
  <c r="L145" i="18" s="1"/>
  <c r="M145" i="18"/>
  <c r="O145" i="18" s="1"/>
  <c r="M24" i="18"/>
  <c r="O24" i="18" s="1"/>
  <c r="Q24" i="18" s="1"/>
  <c r="K24" i="18"/>
  <c r="L24" i="18" s="1"/>
  <c r="N136" i="18"/>
  <c r="O136" i="18" s="1"/>
  <c r="K136" i="18"/>
  <c r="L136" i="18" s="1"/>
  <c r="N55" i="18"/>
  <c r="O55" i="18" s="1"/>
  <c r="K55" i="18"/>
  <c r="L55" i="18" s="1"/>
  <c r="K244" i="18"/>
  <c r="L244" i="18" s="1"/>
  <c r="M244" i="18"/>
  <c r="O244" i="18" s="1"/>
  <c r="M224" i="18"/>
  <c r="O224" i="18" s="1"/>
  <c r="P224" i="18" s="1"/>
  <c r="K224" i="18"/>
  <c r="L224" i="18" s="1"/>
  <c r="K204" i="18"/>
  <c r="L204" i="18" s="1"/>
  <c r="M204" i="18"/>
  <c r="O204" i="18" s="1"/>
  <c r="M104" i="18"/>
  <c r="O104" i="18" s="1"/>
  <c r="K104" i="18"/>
  <c r="L104" i="18" s="1"/>
  <c r="M83" i="18"/>
  <c r="O83" i="18" s="1"/>
  <c r="Q83" i="18" s="1"/>
  <c r="K83" i="18"/>
  <c r="L83" i="18" s="1"/>
  <c r="O63" i="18"/>
  <c r="Q63" i="18" s="1"/>
  <c r="K43" i="18"/>
  <c r="L43" i="18" s="1"/>
  <c r="M43" i="18"/>
  <c r="O43" i="18" s="1"/>
  <c r="N255" i="18"/>
  <c r="O255" i="18" s="1"/>
  <c r="P255" i="18" s="1"/>
  <c r="K255" i="18"/>
  <c r="L255" i="18" s="1"/>
  <c r="N155" i="18"/>
  <c r="O155" i="18" s="1"/>
  <c r="P155" i="18" s="1"/>
  <c r="K155" i="18"/>
  <c r="L155" i="18" s="1"/>
  <c r="N94" i="18"/>
  <c r="O94" i="18" s="1"/>
  <c r="Q94" i="18" s="1"/>
  <c r="K94" i="18"/>
  <c r="L94" i="18" s="1"/>
  <c r="K276" i="18"/>
  <c r="L276" i="18" s="1"/>
  <c r="M143" i="18"/>
  <c r="O143" i="18" s="1"/>
  <c r="M240" i="18"/>
  <c r="O240" i="18" s="1"/>
  <c r="K240" i="18"/>
  <c r="L240" i="18" s="1"/>
  <c r="M239" i="18"/>
  <c r="O239" i="18" s="1"/>
  <c r="K239" i="18"/>
  <c r="L239" i="18" s="1"/>
  <c r="O197" i="18"/>
  <c r="K238" i="18"/>
  <c r="L238" i="18" s="1"/>
  <c r="O198" i="18"/>
  <c r="P198" i="18" s="1"/>
  <c r="M178" i="18"/>
  <c r="O178" i="18" s="1"/>
  <c r="K178" i="18"/>
  <c r="L178" i="18" s="1"/>
  <c r="M158" i="18"/>
  <c r="O158" i="18" s="1"/>
  <c r="K158" i="18"/>
  <c r="L158" i="18" s="1"/>
  <c r="O138" i="18"/>
  <c r="P138" i="18" s="1"/>
  <c r="K77" i="18"/>
  <c r="L77" i="18" s="1"/>
  <c r="K57" i="18"/>
  <c r="L57" i="18" s="1"/>
  <c r="O196" i="18"/>
  <c r="M77" i="18"/>
  <c r="O77" i="18" s="1"/>
  <c r="K237" i="18"/>
  <c r="L237" i="18" s="1"/>
  <c r="K197" i="18"/>
  <c r="L197" i="18" s="1"/>
  <c r="K177" i="18"/>
  <c r="L177" i="18" s="1"/>
  <c r="O117" i="18"/>
  <c r="P117" i="18" s="1"/>
  <c r="O96" i="18"/>
  <c r="Q96" i="18" s="1"/>
  <c r="K56" i="18"/>
  <c r="L56" i="18" s="1"/>
  <c r="O36" i="18"/>
  <c r="Q36" i="18" s="1"/>
  <c r="K36" i="18"/>
  <c r="L36" i="18" s="1"/>
  <c r="O275" i="18"/>
  <c r="O73" i="18"/>
  <c r="Q73" i="18" s="1"/>
  <c r="K175" i="18"/>
  <c r="L175" i="18" s="1"/>
  <c r="K218" i="18"/>
  <c r="L218" i="18" s="1"/>
  <c r="K30" i="18"/>
  <c r="L30" i="18" s="1"/>
  <c r="K118" i="18"/>
  <c r="L118" i="18" s="1"/>
  <c r="O174" i="18"/>
  <c r="M57" i="18"/>
  <c r="O57" i="18" s="1"/>
  <c r="Q57" i="18" s="1"/>
  <c r="O133" i="18"/>
  <c r="Q133" i="18" s="1"/>
  <c r="O113" i="18"/>
  <c r="Q113" i="18" s="1"/>
  <c r="O72" i="18"/>
  <c r="Q72" i="18" s="1"/>
  <c r="O52" i="18"/>
  <c r="Q52" i="18" s="1"/>
  <c r="K264" i="18"/>
  <c r="L264" i="18" s="1"/>
  <c r="K117" i="18"/>
  <c r="L117" i="18" s="1"/>
  <c r="K16" i="18"/>
  <c r="M56" i="18"/>
  <c r="O56" i="18" s="1"/>
  <c r="Q56" i="18" s="1"/>
  <c r="K211" i="18"/>
  <c r="L211" i="18" s="1"/>
  <c r="K108" i="18"/>
  <c r="L108" i="18" s="1"/>
  <c r="K151" i="18"/>
  <c r="L151" i="18" s="1"/>
  <c r="O30" i="18"/>
  <c r="Q30" i="18" s="1"/>
  <c r="M238" i="18"/>
  <c r="O238" i="18" s="1"/>
  <c r="O54" i="18"/>
  <c r="Q54" i="18" s="1"/>
  <c r="K150" i="18"/>
  <c r="L150" i="18" s="1"/>
  <c r="O130" i="18"/>
  <c r="Q130" i="18" s="1"/>
  <c r="O69" i="18"/>
  <c r="Q69" i="18" s="1"/>
  <c r="M237" i="18"/>
  <c r="O237" i="18" s="1"/>
  <c r="O229" i="18"/>
  <c r="K209" i="18"/>
  <c r="L209" i="18" s="1"/>
  <c r="K149" i="18"/>
  <c r="L149" i="18" s="1"/>
  <c r="O48" i="18"/>
  <c r="Q48" i="18" s="1"/>
  <c r="M151" i="18"/>
  <c r="O151" i="18" s="1"/>
  <c r="P151" i="18" s="1"/>
  <c r="K208" i="18"/>
  <c r="L208" i="18" s="1"/>
  <c r="K148" i="18"/>
  <c r="L148" i="18" s="1"/>
  <c r="O108" i="18"/>
  <c r="Q108" i="18" s="1"/>
  <c r="K27" i="18"/>
  <c r="L27" i="18" s="1"/>
  <c r="M27" i="18"/>
  <c r="O27" i="18" s="1"/>
  <c r="Q27" i="18" s="1"/>
  <c r="K198" i="18"/>
  <c r="L198" i="18" s="1"/>
  <c r="K97" i="18"/>
  <c r="L97" i="18" s="1"/>
  <c r="O276" i="18"/>
  <c r="O236" i="18"/>
  <c r="P236" i="18" s="1"/>
  <c r="K216" i="18"/>
  <c r="L216" i="18" s="1"/>
  <c r="O156" i="18"/>
  <c r="K116" i="18"/>
  <c r="L116" i="18" s="1"/>
  <c r="O95" i="18"/>
  <c r="Q95" i="18" s="1"/>
  <c r="O75" i="18"/>
  <c r="Q75" i="18" s="1"/>
  <c r="K267" i="18"/>
  <c r="L267" i="18" s="1"/>
  <c r="K167" i="18"/>
  <c r="L167" i="18" s="1"/>
  <c r="K176" i="18"/>
  <c r="L176" i="18" s="1"/>
  <c r="O254" i="18"/>
  <c r="K275" i="18"/>
  <c r="L275" i="18" s="1"/>
  <c r="O235" i="18"/>
  <c r="P235" i="18" s="1"/>
  <c r="K215" i="18"/>
  <c r="L215" i="18" s="1"/>
  <c r="K195" i="18"/>
  <c r="L195" i="18" s="1"/>
  <c r="K115" i="18"/>
  <c r="L115" i="18" s="1"/>
  <c r="K54" i="18"/>
  <c r="L54" i="18" s="1"/>
  <c r="K34" i="18"/>
  <c r="L34" i="18" s="1"/>
  <c r="K254" i="18"/>
  <c r="L254" i="18" s="1"/>
  <c r="K214" i="18"/>
  <c r="L214" i="18" s="1"/>
  <c r="K174" i="18"/>
  <c r="L174" i="18" s="1"/>
  <c r="K114" i="18"/>
  <c r="L114" i="18" s="1"/>
  <c r="O64" i="18"/>
  <c r="Q64" i="18" s="1"/>
  <c r="K75" i="18"/>
  <c r="L75" i="18" s="1"/>
  <c r="M253" i="18"/>
  <c r="O253" i="18" s="1"/>
  <c r="K253" i="18"/>
  <c r="L253" i="18" s="1"/>
  <c r="K233" i="18"/>
  <c r="L233" i="18" s="1"/>
  <c r="M233" i="18"/>
  <c r="O233" i="18" s="1"/>
  <c r="K213" i="18"/>
  <c r="L213" i="18" s="1"/>
  <c r="M213" i="18"/>
  <c r="O213" i="18" s="1"/>
  <c r="P213" i="18" s="1"/>
  <c r="K193" i="18"/>
  <c r="L193" i="18" s="1"/>
  <c r="M193" i="18"/>
  <c r="O193" i="18" s="1"/>
  <c r="K173" i="18"/>
  <c r="L173" i="18" s="1"/>
  <c r="M173" i="18"/>
  <c r="O173" i="18" s="1"/>
  <c r="K153" i="18"/>
  <c r="L153" i="18" s="1"/>
  <c r="M153" i="18"/>
  <c r="O153" i="18" s="1"/>
  <c r="P153" i="18" s="1"/>
  <c r="M92" i="18"/>
  <c r="O92" i="18" s="1"/>
  <c r="Q92" i="18" s="1"/>
  <c r="K92" i="18"/>
  <c r="L92" i="18" s="1"/>
  <c r="M32" i="18"/>
  <c r="O32" i="18" s="1"/>
  <c r="Q32" i="18" s="1"/>
  <c r="K32" i="18"/>
  <c r="L32" i="18" s="1"/>
  <c r="K279" i="18"/>
  <c r="L279" i="18" s="1"/>
  <c r="O257" i="18"/>
  <c r="M282" i="18"/>
  <c r="O282" i="18" s="1"/>
  <c r="K282" i="18"/>
  <c r="L282" i="18" s="1"/>
  <c r="M242" i="18"/>
  <c r="O242" i="18" s="1"/>
  <c r="K242" i="18"/>
  <c r="L242" i="18" s="1"/>
  <c r="M202" i="18"/>
  <c r="O202" i="18" s="1"/>
  <c r="K202" i="18"/>
  <c r="L202" i="18" s="1"/>
  <c r="M162" i="18"/>
  <c r="O162" i="18" s="1"/>
  <c r="K162" i="18"/>
  <c r="L162" i="18" s="1"/>
  <c r="K122" i="18"/>
  <c r="L122" i="18" s="1"/>
  <c r="M122" i="18"/>
  <c r="O122" i="18" s="1"/>
  <c r="Q122" i="18" s="1"/>
  <c r="M41" i="18"/>
  <c r="O41" i="18" s="1"/>
  <c r="Q41" i="18" s="1"/>
  <c r="K41" i="18"/>
  <c r="L41" i="18" s="1"/>
  <c r="M181" i="18"/>
  <c r="O181" i="18" s="1"/>
  <c r="P181" i="18" s="1"/>
  <c r="K181" i="18"/>
  <c r="L181" i="18" s="1"/>
  <c r="M141" i="18"/>
  <c r="O141" i="18" s="1"/>
  <c r="P141" i="18" s="1"/>
  <c r="K141" i="18"/>
  <c r="L141" i="18" s="1"/>
  <c r="K100" i="18"/>
  <c r="L100" i="18" s="1"/>
  <c r="K80" i="18"/>
  <c r="L80" i="18" s="1"/>
  <c r="M80" i="18"/>
  <c r="O80" i="18" s="1"/>
  <c r="K60" i="18"/>
  <c r="L60" i="18" s="1"/>
  <c r="M60" i="18"/>
  <c r="O60" i="18" s="1"/>
  <c r="M40" i="18"/>
  <c r="O40" i="18" s="1"/>
  <c r="K40" i="18"/>
  <c r="L40" i="18" s="1"/>
  <c r="K20" i="18"/>
  <c r="L20" i="18" s="1"/>
  <c r="M20" i="18"/>
  <c r="O20" i="18" s="1"/>
  <c r="K232" i="18"/>
  <c r="L232" i="18" s="1"/>
  <c r="N232" i="18"/>
  <c r="O232" i="18" s="1"/>
  <c r="P232" i="18" s="1"/>
  <c r="N192" i="18"/>
  <c r="O192" i="18" s="1"/>
  <c r="P192" i="18" s="1"/>
  <c r="K192" i="18"/>
  <c r="L192" i="18" s="1"/>
  <c r="N252" i="18"/>
  <c r="O252" i="18" s="1"/>
  <c r="K191" i="18"/>
  <c r="L191" i="18" s="1"/>
  <c r="K69" i="18"/>
  <c r="L69" i="18" s="1"/>
  <c r="M101" i="18"/>
  <c r="O101" i="18" s="1"/>
  <c r="Q101" i="18" s="1"/>
  <c r="K189" i="18"/>
  <c r="L189" i="18" s="1"/>
  <c r="K61" i="18"/>
  <c r="L61" i="18" s="1"/>
  <c r="M100" i="18"/>
  <c r="O100" i="18" s="1"/>
  <c r="Q100" i="18" s="1"/>
  <c r="M273" i="18"/>
  <c r="O273" i="18" s="1"/>
  <c r="K273" i="18"/>
  <c r="L273" i="18" s="1"/>
  <c r="K229" i="18"/>
  <c r="L229" i="18" s="1"/>
  <c r="O79" i="18"/>
  <c r="Q79" i="18" s="1"/>
  <c r="K268" i="18"/>
  <c r="L268" i="18" s="1"/>
  <c r="M268" i="18"/>
  <c r="O268" i="18" s="1"/>
  <c r="K248" i="18"/>
  <c r="L248" i="18" s="1"/>
  <c r="M248" i="18"/>
  <c r="O248" i="18" s="1"/>
  <c r="K228" i="18"/>
  <c r="L228" i="18" s="1"/>
  <c r="M228" i="18"/>
  <c r="O228" i="18" s="1"/>
  <c r="P228" i="18" s="1"/>
  <c r="K188" i="18"/>
  <c r="L188" i="18" s="1"/>
  <c r="M188" i="18"/>
  <c r="O188" i="18" s="1"/>
  <c r="M168" i="18"/>
  <c r="O168" i="18" s="1"/>
  <c r="K168" i="18"/>
  <c r="L168" i="18" s="1"/>
  <c r="K128" i="18"/>
  <c r="L128" i="18" s="1"/>
  <c r="M128" i="18"/>
  <c r="O128" i="18" s="1"/>
  <c r="Q128" i="18" s="1"/>
  <c r="M87" i="18"/>
  <c r="O87" i="18" s="1"/>
  <c r="Q87" i="18" s="1"/>
  <c r="K87" i="18"/>
  <c r="L87" i="18" s="1"/>
  <c r="K67" i="18"/>
  <c r="L67" i="18" s="1"/>
  <c r="M67" i="18"/>
  <c r="O67" i="18" s="1"/>
  <c r="Q67" i="18" s="1"/>
  <c r="M47" i="18"/>
  <c r="O47" i="18" s="1"/>
  <c r="Q47" i="18" s="1"/>
  <c r="K47" i="18"/>
  <c r="L47" i="18" s="1"/>
  <c r="K98" i="18"/>
  <c r="L98" i="18" s="1"/>
  <c r="O277" i="18"/>
  <c r="M78" i="18"/>
  <c r="O78" i="18" s="1"/>
  <c r="Q78" i="18" s="1"/>
  <c r="M21" i="18"/>
  <c r="O21" i="18" s="1"/>
  <c r="Q21" i="18" s="1"/>
  <c r="K31" i="18"/>
  <c r="L31" i="18" s="1"/>
  <c r="N31" i="18"/>
  <c r="O31" i="18" s="1"/>
  <c r="Q31" i="18" s="1"/>
  <c r="O280" i="18"/>
  <c r="O260" i="18"/>
  <c r="K220" i="18"/>
  <c r="L220" i="18" s="1"/>
  <c r="M220" i="18"/>
  <c r="O220" i="18" s="1"/>
  <c r="M200" i="18"/>
  <c r="O200" i="18" s="1"/>
  <c r="P200" i="18" s="1"/>
  <c r="K200" i="18"/>
  <c r="L200" i="18" s="1"/>
  <c r="O180" i="18"/>
  <c r="K160" i="18"/>
  <c r="L160" i="18" s="1"/>
  <c r="M160" i="18"/>
  <c r="O160" i="18" s="1"/>
  <c r="K140" i="18"/>
  <c r="L140" i="18" s="1"/>
  <c r="M140" i="18"/>
  <c r="O140" i="18" s="1"/>
  <c r="K120" i="18"/>
  <c r="L120" i="18" s="1"/>
  <c r="M120" i="18"/>
  <c r="O120" i="18" s="1"/>
  <c r="Q120" i="18" s="1"/>
  <c r="M99" i="18"/>
  <c r="O99" i="18" s="1"/>
  <c r="Q99" i="18" s="1"/>
  <c r="K99" i="18"/>
  <c r="L99" i="18" s="1"/>
  <c r="K79" i="18"/>
  <c r="L79" i="18" s="1"/>
  <c r="K59" i="18"/>
  <c r="L59" i="18" s="1"/>
  <c r="M59" i="18"/>
  <c r="O59" i="18" s="1"/>
  <c r="K39" i="18"/>
  <c r="L39" i="18" s="1"/>
  <c r="M19" i="18"/>
  <c r="O19" i="18" s="1"/>
  <c r="K19" i="18"/>
  <c r="L19" i="18" s="1"/>
  <c r="M259" i="18"/>
  <c r="O259" i="18" s="1"/>
  <c r="K259" i="18"/>
  <c r="L259" i="18" s="1"/>
  <c r="K219" i="18"/>
  <c r="L219" i="18" s="1"/>
  <c r="M219" i="18"/>
  <c r="O219" i="18" s="1"/>
  <c r="M199" i="18"/>
  <c r="O199" i="18" s="1"/>
  <c r="K199" i="18"/>
  <c r="L199" i="18" s="1"/>
  <c r="O179" i="18"/>
  <c r="M159" i="18"/>
  <c r="O159" i="18" s="1"/>
  <c r="K159" i="18"/>
  <c r="L159" i="18" s="1"/>
  <c r="M139" i="18"/>
  <c r="K139" i="18"/>
  <c r="L139" i="18" s="1"/>
  <c r="M119" i="18"/>
  <c r="O119" i="18" s="1"/>
  <c r="Q119" i="18" s="1"/>
  <c r="K119" i="18"/>
  <c r="L119" i="18" s="1"/>
  <c r="M38" i="18"/>
  <c r="O38" i="18" s="1"/>
  <c r="Q38" i="18" s="1"/>
  <c r="K38" i="18"/>
  <c r="L38" i="18" s="1"/>
  <c r="K18" i="18"/>
  <c r="L18" i="18" s="1"/>
  <c r="M18" i="18"/>
  <c r="K262" i="18"/>
  <c r="L262" i="18" s="1"/>
  <c r="N284" i="18"/>
  <c r="O284" i="18" s="1"/>
  <c r="K284" i="18"/>
  <c r="L284" i="18" s="1"/>
  <c r="L113" i="18"/>
  <c r="K52" i="18"/>
  <c r="L52" i="18" s="1"/>
  <c r="M270" i="18"/>
  <c r="O270" i="18" s="1"/>
  <c r="K270" i="18"/>
  <c r="L270" i="18" s="1"/>
  <c r="M250" i="18"/>
  <c r="O250" i="18" s="1"/>
  <c r="K250" i="18"/>
  <c r="L250" i="18" s="1"/>
  <c r="K230" i="18"/>
  <c r="L230" i="18" s="1"/>
  <c r="M230" i="18"/>
  <c r="O230" i="18" s="1"/>
  <c r="P230" i="18" s="1"/>
  <c r="M210" i="18"/>
  <c r="O210" i="18" s="1"/>
  <c r="K210" i="18"/>
  <c r="L210" i="18" s="1"/>
  <c r="M190" i="18"/>
  <c r="O190" i="18" s="1"/>
  <c r="K190" i="18"/>
  <c r="L190" i="18" s="1"/>
  <c r="K170" i="18"/>
  <c r="L170" i="18" s="1"/>
  <c r="M170" i="18"/>
  <c r="O170" i="18" s="1"/>
  <c r="M110" i="18"/>
  <c r="K110" i="18"/>
  <c r="L110" i="18" s="1"/>
  <c r="K89" i="18"/>
  <c r="L89" i="18" s="1"/>
  <c r="M89" i="18"/>
  <c r="O89" i="18" s="1"/>
  <c r="Q89" i="18" s="1"/>
  <c r="M49" i="18"/>
  <c r="O49" i="18" s="1"/>
  <c r="Q49" i="18" s="1"/>
  <c r="K49" i="18"/>
  <c r="L49" i="18" s="1"/>
  <c r="M29" i="18"/>
  <c r="O29" i="18" s="1"/>
  <c r="Q29" i="18" s="1"/>
  <c r="K29" i="18"/>
  <c r="L29" i="18" s="1"/>
  <c r="M269" i="18"/>
  <c r="O269" i="18" s="1"/>
  <c r="K269" i="18"/>
  <c r="L269" i="18" s="1"/>
  <c r="M249" i="18"/>
  <c r="O249" i="18" s="1"/>
  <c r="K249" i="18"/>
  <c r="L249" i="18" s="1"/>
  <c r="K169" i="18"/>
  <c r="L169" i="18" s="1"/>
  <c r="M169" i="18"/>
  <c r="O169" i="18" s="1"/>
  <c r="M129" i="18"/>
  <c r="O129" i="18" s="1"/>
  <c r="Q129" i="18" s="1"/>
  <c r="K129" i="18"/>
  <c r="L129" i="18" s="1"/>
  <c r="M109" i="18"/>
  <c r="O109" i="18" s="1"/>
  <c r="Q109" i="18" s="1"/>
  <c r="K109" i="18"/>
  <c r="L109" i="18" s="1"/>
  <c r="M88" i="18"/>
  <c r="O88" i="18" s="1"/>
  <c r="K88" i="18"/>
  <c r="L88" i="18" s="1"/>
  <c r="M68" i="18"/>
  <c r="O68" i="18" s="1"/>
  <c r="Q68" i="18" s="1"/>
  <c r="K68" i="18"/>
  <c r="L68" i="18" s="1"/>
  <c r="M28" i="18"/>
  <c r="O28" i="18" s="1"/>
  <c r="Q28" i="18" s="1"/>
  <c r="K28" i="18"/>
  <c r="L28" i="18" s="1"/>
  <c r="M150" i="18"/>
  <c r="O150" i="18" s="1"/>
  <c r="M286" i="18"/>
  <c r="O286" i="18" s="1"/>
  <c r="K286" i="18"/>
  <c r="L286" i="18" s="1"/>
  <c r="M266" i="18"/>
  <c r="O266" i="18" s="1"/>
  <c r="K266" i="18"/>
  <c r="L266" i="18" s="1"/>
  <c r="M246" i="18"/>
  <c r="O246" i="18" s="1"/>
  <c r="P246" i="18" s="1"/>
  <c r="K246" i="18"/>
  <c r="L246" i="18" s="1"/>
  <c r="M226" i="18"/>
  <c r="O226" i="18" s="1"/>
  <c r="K226" i="18"/>
  <c r="L226" i="18" s="1"/>
  <c r="M206" i="18"/>
  <c r="O206" i="18" s="1"/>
  <c r="P206" i="18" s="1"/>
  <c r="K206" i="18"/>
  <c r="L206" i="18" s="1"/>
  <c r="M186" i="18"/>
  <c r="O186" i="18" s="1"/>
  <c r="K186" i="18"/>
  <c r="L186" i="18" s="1"/>
  <c r="M166" i="18"/>
  <c r="O166" i="18" s="1"/>
  <c r="K166" i="18"/>
  <c r="L166" i="18" s="1"/>
  <c r="M146" i="18"/>
  <c r="O146" i="18" s="1"/>
  <c r="K146" i="18"/>
  <c r="L146" i="18" s="1"/>
  <c r="M126" i="18"/>
  <c r="K126" i="18"/>
  <c r="L126" i="18" s="1"/>
  <c r="M85" i="18"/>
  <c r="O85" i="18" s="1"/>
  <c r="Q85" i="18" s="1"/>
  <c r="K85" i="18"/>
  <c r="L85" i="18" s="1"/>
  <c r="M65" i="18"/>
  <c r="O65" i="18" s="1"/>
  <c r="Q65" i="18" s="1"/>
  <c r="K65" i="18"/>
  <c r="L65" i="18" s="1"/>
  <c r="M45" i="18"/>
  <c r="O45" i="18" s="1"/>
  <c r="Q45" i="18" s="1"/>
  <c r="K45" i="18"/>
  <c r="L45" i="18" s="1"/>
  <c r="M25" i="18"/>
  <c r="O25" i="18" s="1"/>
  <c r="K25" i="18"/>
  <c r="L25" i="18" s="1"/>
  <c r="M209" i="18"/>
  <c r="O209" i="18" s="1"/>
  <c r="M149" i="18"/>
  <c r="O149" i="18" s="1"/>
  <c r="K281" i="18"/>
  <c r="L281" i="18" s="1"/>
  <c r="K221" i="18"/>
  <c r="L221" i="18" s="1"/>
  <c r="M208" i="18"/>
  <c r="O208" i="18" s="1"/>
  <c r="M148" i="18"/>
  <c r="O148" i="18" s="1"/>
  <c r="K280" i="18"/>
  <c r="L280" i="18" s="1"/>
  <c r="O261" i="18"/>
  <c r="P261" i="18" s="1"/>
  <c r="M222" i="18"/>
  <c r="O222" i="18" s="1"/>
  <c r="K222" i="18"/>
  <c r="L222" i="18" s="1"/>
  <c r="M182" i="18"/>
  <c r="O182" i="18" s="1"/>
  <c r="K182" i="18"/>
  <c r="L182" i="18" s="1"/>
  <c r="M142" i="18"/>
  <c r="O142" i="18" s="1"/>
  <c r="K142" i="18"/>
  <c r="L142" i="18" s="1"/>
  <c r="O281" i="18"/>
  <c r="P281" i="18" s="1"/>
  <c r="K261" i="18"/>
  <c r="L261" i="18" s="1"/>
  <c r="M201" i="18"/>
  <c r="O201" i="18" s="1"/>
  <c r="P201" i="18" s="1"/>
  <c r="K201" i="18"/>
  <c r="L201" i="18" s="1"/>
  <c r="M161" i="18"/>
  <c r="O161" i="18" s="1"/>
  <c r="P161" i="18" s="1"/>
  <c r="K161" i="18"/>
  <c r="L161" i="18" s="1"/>
  <c r="K121" i="18"/>
  <c r="L121" i="18" s="1"/>
  <c r="M121" i="18"/>
  <c r="O121" i="18" s="1"/>
  <c r="N272" i="18"/>
  <c r="O272" i="18" s="1"/>
  <c r="P272" i="18" s="1"/>
  <c r="K272" i="18"/>
  <c r="L272" i="18" s="1"/>
  <c r="N172" i="18"/>
  <c r="O172" i="18" s="1"/>
  <c r="P172" i="18" s="1"/>
  <c r="K172" i="18"/>
  <c r="L172" i="18" s="1"/>
  <c r="K132" i="18"/>
  <c r="L132" i="18" s="1"/>
  <c r="N132" i="18"/>
  <c r="O132" i="18" s="1"/>
  <c r="K112" i="18"/>
  <c r="L112" i="18" s="1"/>
  <c r="N112" i="18"/>
  <c r="O112" i="18" s="1"/>
  <c r="N91" i="18"/>
  <c r="O91" i="18" s="1"/>
  <c r="K91" i="18"/>
  <c r="L91" i="18" s="1"/>
  <c r="N51" i="18"/>
  <c r="O51" i="18" s="1"/>
  <c r="K51" i="18"/>
  <c r="L51" i="18" s="1"/>
  <c r="O218" i="18"/>
  <c r="K260" i="18"/>
  <c r="L260" i="18" s="1"/>
  <c r="K133" i="18"/>
  <c r="L133" i="18" s="1"/>
  <c r="K72" i="18"/>
  <c r="L72" i="18" s="1"/>
  <c r="K130" i="18"/>
  <c r="L130" i="18" s="1"/>
  <c r="K71" i="18"/>
  <c r="L71" i="18" s="1"/>
  <c r="K152" i="18"/>
  <c r="L152" i="18" s="1"/>
  <c r="M271" i="18"/>
  <c r="O271" i="18" s="1"/>
  <c r="K271" i="18"/>
  <c r="L271" i="18" s="1"/>
  <c r="M251" i="18"/>
  <c r="O251" i="18" s="1"/>
  <c r="K251" i="18"/>
  <c r="L251" i="18" s="1"/>
  <c r="M231" i="18"/>
  <c r="O231" i="18" s="1"/>
  <c r="K231" i="18"/>
  <c r="L231" i="18" s="1"/>
  <c r="O191" i="18"/>
  <c r="K171" i="18"/>
  <c r="L171" i="18" s="1"/>
  <c r="M171" i="18"/>
  <c r="O171" i="18" s="1"/>
  <c r="K131" i="18"/>
  <c r="L131" i="18" s="1"/>
  <c r="M131" i="18"/>
  <c r="O131" i="18" s="1"/>
  <c r="Q131" i="18" s="1"/>
  <c r="K111" i="18"/>
  <c r="L111" i="18" s="1"/>
  <c r="M90" i="18"/>
  <c r="O90" i="18" s="1"/>
  <c r="Q90" i="18" s="1"/>
  <c r="K90" i="18"/>
  <c r="L90" i="18" s="1"/>
  <c r="K50" i="18"/>
  <c r="L50" i="18" s="1"/>
  <c r="M50" i="18"/>
  <c r="O50" i="18" s="1"/>
  <c r="Q50" i="18" s="1"/>
  <c r="O217" i="18"/>
  <c r="O111" i="18"/>
  <c r="Q111" i="18" s="1"/>
  <c r="K156" i="18"/>
  <c r="L156" i="18" s="1"/>
  <c r="K288" i="18"/>
  <c r="L288" i="18" s="1"/>
  <c r="M285" i="18"/>
  <c r="O285" i="18" s="1"/>
  <c r="K285" i="18"/>
  <c r="L285" i="18" s="1"/>
  <c r="K265" i="18"/>
  <c r="L265" i="18" s="1"/>
  <c r="M265" i="18"/>
  <c r="O265" i="18" s="1"/>
  <c r="M225" i="18"/>
  <c r="O225" i="18" s="1"/>
  <c r="K225" i="18"/>
  <c r="L225" i="18" s="1"/>
  <c r="K205" i="18"/>
  <c r="L205" i="18" s="1"/>
  <c r="M205" i="18"/>
  <c r="O205" i="18" s="1"/>
  <c r="K165" i="18"/>
  <c r="L165" i="18" s="1"/>
  <c r="M165" i="18"/>
  <c r="O165" i="18" s="1"/>
  <c r="K105" i="18"/>
  <c r="L105" i="18" s="1"/>
  <c r="M105" i="18"/>
  <c r="O105" i="18" s="1"/>
  <c r="M84" i="18"/>
  <c r="O84" i="18" s="1"/>
  <c r="Q84" i="18" s="1"/>
  <c r="K84" i="18"/>
  <c r="L84" i="18" s="1"/>
  <c r="K44" i="18"/>
  <c r="L44" i="18" s="1"/>
  <c r="M44" i="18"/>
  <c r="O44" i="18" s="1"/>
  <c r="Q44" i="18" s="1"/>
  <c r="K64" i="18"/>
  <c r="L64" i="18" s="1"/>
  <c r="M114" i="18"/>
  <c r="O114" i="18" s="1"/>
  <c r="Q114" i="18" s="1"/>
  <c r="K235" i="18"/>
  <c r="L235" i="18" s="1"/>
  <c r="K125" i="18"/>
  <c r="L125" i="18" s="1"/>
  <c r="M177" i="18"/>
  <c r="O177" i="18" s="1"/>
  <c r="O97" i="18"/>
  <c r="Q97" i="18" s="1"/>
  <c r="K277" i="18"/>
  <c r="L277" i="18" s="1"/>
  <c r="K257" i="18"/>
  <c r="L257" i="18" s="1"/>
  <c r="K137" i="18"/>
  <c r="L137" i="18" s="1"/>
  <c r="M137" i="18"/>
  <c r="O137" i="18" s="1"/>
  <c r="O76" i="18"/>
  <c r="Q76" i="18" s="1"/>
  <c r="K35" i="18"/>
  <c r="L35" i="18" s="1"/>
  <c r="M35" i="18"/>
  <c r="O35" i="18" s="1"/>
  <c r="Q35" i="18" s="1"/>
  <c r="N247" i="18"/>
  <c r="O247" i="18" s="1"/>
  <c r="P247" i="18" s="1"/>
  <c r="K247" i="18"/>
  <c r="L247" i="18" s="1"/>
  <c r="K236" i="18"/>
  <c r="L236" i="18" s="1"/>
  <c r="M274" i="18"/>
  <c r="O274" i="18" s="1"/>
  <c r="K274" i="18"/>
  <c r="L274" i="18" s="1"/>
  <c r="K234" i="18"/>
  <c r="L234" i="18" s="1"/>
  <c r="M234" i="18"/>
  <c r="O234" i="18" s="1"/>
  <c r="K194" i="18"/>
  <c r="L194" i="18" s="1"/>
  <c r="M194" i="18"/>
  <c r="O194" i="18" s="1"/>
  <c r="M93" i="18"/>
  <c r="O93" i="18" s="1"/>
  <c r="Q93" i="18" s="1"/>
  <c r="K93" i="18"/>
  <c r="L93" i="18" s="1"/>
  <c r="M53" i="18"/>
  <c r="O53" i="18" s="1"/>
  <c r="Q53" i="18" s="1"/>
  <c r="K53" i="18"/>
  <c r="L53" i="18" s="1"/>
  <c r="K76" i="18"/>
  <c r="L76" i="18" s="1"/>
  <c r="O267" i="18"/>
  <c r="K63" i="18"/>
  <c r="L63" i="18" s="1"/>
  <c r="M82" i="18"/>
  <c r="O82" i="18" s="1"/>
  <c r="K82" i="18"/>
  <c r="L82" i="18" s="1"/>
  <c r="O62" i="18"/>
  <c r="Q62" i="18" s="1"/>
  <c r="K62" i="18"/>
  <c r="L62" i="18" s="1"/>
  <c r="O118" i="18"/>
  <c r="Q118" i="18" s="1"/>
  <c r="M37" i="18"/>
  <c r="O37" i="18" s="1"/>
  <c r="Q37" i="18" s="1"/>
  <c r="K37" i="18"/>
  <c r="L37" i="18" s="1"/>
  <c r="K26" i="18"/>
  <c r="L26" i="18" s="1"/>
  <c r="O288" i="18"/>
  <c r="Q288" i="18" s="1"/>
  <c r="K138" i="18"/>
  <c r="L138" i="18" s="1"/>
  <c r="K23" i="18"/>
  <c r="L23" i="18" s="1"/>
  <c r="K164" i="18"/>
  <c r="L164" i="18" s="1"/>
  <c r="M124" i="18"/>
  <c r="O124" i="18" s="1"/>
  <c r="Q124" i="18" s="1"/>
  <c r="K147" i="18"/>
  <c r="L147" i="18" s="1"/>
  <c r="Q194" i="18" l="1"/>
  <c r="P194" i="18"/>
  <c r="Q165" i="18"/>
  <c r="P165" i="18"/>
  <c r="Q218" i="18"/>
  <c r="P218" i="18"/>
  <c r="Q182" i="18"/>
  <c r="P182" i="18"/>
  <c r="Q166" i="18"/>
  <c r="P166" i="18"/>
  <c r="Q286" i="18"/>
  <c r="P286" i="18"/>
  <c r="Q169" i="18"/>
  <c r="P169" i="18"/>
  <c r="Q159" i="18"/>
  <c r="P159" i="18"/>
  <c r="Q219" i="18"/>
  <c r="P219" i="18"/>
  <c r="Q160" i="18"/>
  <c r="P160" i="18"/>
  <c r="Q280" i="18"/>
  <c r="P280" i="18"/>
  <c r="Q168" i="18"/>
  <c r="P168" i="18"/>
  <c r="Q273" i="18"/>
  <c r="P273" i="18"/>
  <c r="Q202" i="18"/>
  <c r="P202" i="18"/>
  <c r="Q282" i="18"/>
  <c r="P282" i="18"/>
  <c r="Q254" i="18"/>
  <c r="P254" i="18"/>
  <c r="Q238" i="18"/>
  <c r="P238" i="18"/>
  <c r="Q275" i="18"/>
  <c r="P275" i="18"/>
  <c r="Q197" i="18"/>
  <c r="P197" i="18"/>
  <c r="Q240" i="18"/>
  <c r="P240" i="18"/>
  <c r="Q204" i="18"/>
  <c r="P204" i="18"/>
  <c r="Q244" i="18"/>
  <c r="P244" i="18"/>
  <c r="Q145" i="18"/>
  <c r="P145" i="18"/>
  <c r="Q245" i="18"/>
  <c r="P245" i="18"/>
  <c r="Q157" i="18"/>
  <c r="P157" i="18"/>
  <c r="Q163" i="18"/>
  <c r="P163" i="18"/>
  <c r="Q216" i="18"/>
  <c r="P216" i="18"/>
  <c r="Q189" i="18"/>
  <c r="P189" i="18"/>
  <c r="Q147" i="18"/>
  <c r="P147" i="18"/>
  <c r="Q274" i="18"/>
  <c r="P274" i="18"/>
  <c r="Q177" i="18"/>
  <c r="P177" i="18"/>
  <c r="Q225" i="18"/>
  <c r="P225" i="18"/>
  <c r="Q285" i="18"/>
  <c r="P285" i="18"/>
  <c r="Q217" i="18"/>
  <c r="P217" i="18"/>
  <c r="Q171" i="18"/>
  <c r="P171" i="18"/>
  <c r="Q231" i="18"/>
  <c r="P231" i="18"/>
  <c r="Q271" i="18"/>
  <c r="P271" i="18"/>
  <c r="Q148" i="18"/>
  <c r="P148" i="18"/>
  <c r="Q149" i="18"/>
  <c r="P149" i="18"/>
  <c r="Q150" i="18"/>
  <c r="P150" i="18"/>
  <c r="Q269" i="18"/>
  <c r="P269" i="18"/>
  <c r="Q190" i="18"/>
  <c r="P190" i="18"/>
  <c r="Q270" i="18"/>
  <c r="P270" i="18"/>
  <c r="Q284" i="18"/>
  <c r="P284" i="18"/>
  <c r="Q179" i="18"/>
  <c r="P179" i="18"/>
  <c r="Q220" i="18"/>
  <c r="P220" i="18"/>
  <c r="Q277" i="18"/>
  <c r="P277" i="18"/>
  <c r="Q188" i="18"/>
  <c r="P188" i="18"/>
  <c r="Q248" i="18"/>
  <c r="P248" i="18"/>
  <c r="Q257" i="18"/>
  <c r="P257" i="18"/>
  <c r="Q173" i="18"/>
  <c r="P173" i="18"/>
  <c r="Q178" i="18"/>
  <c r="P178" i="18"/>
  <c r="Q143" i="18"/>
  <c r="P143" i="18"/>
  <c r="Q152" i="18"/>
  <c r="P152" i="18"/>
  <c r="Q241" i="18"/>
  <c r="P241" i="18"/>
  <c r="Q221" i="18"/>
  <c r="P221" i="18"/>
  <c r="Q263" i="18"/>
  <c r="P263" i="18"/>
  <c r="Q164" i="18"/>
  <c r="P164" i="18"/>
  <c r="Q167" i="18"/>
  <c r="P167" i="18"/>
  <c r="Q175" i="18"/>
  <c r="P175" i="18"/>
  <c r="Q267" i="18"/>
  <c r="P267" i="18"/>
  <c r="Q234" i="18"/>
  <c r="P234" i="18"/>
  <c r="Q205" i="18"/>
  <c r="P205" i="18"/>
  <c r="Q265" i="18"/>
  <c r="P265" i="18"/>
  <c r="Q142" i="18"/>
  <c r="P142" i="18"/>
  <c r="Q222" i="18"/>
  <c r="P222" i="18"/>
  <c r="Q208" i="18"/>
  <c r="P208" i="18"/>
  <c r="Q209" i="18"/>
  <c r="P209" i="18"/>
  <c r="Q146" i="18"/>
  <c r="P146" i="18"/>
  <c r="Q186" i="18"/>
  <c r="P186" i="18"/>
  <c r="Q226" i="18"/>
  <c r="P226" i="18"/>
  <c r="Q266" i="18"/>
  <c r="P266" i="18"/>
  <c r="Q170" i="18"/>
  <c r="P170" i="18"/>
  <c r="Q140" i="18"/>
  <c r="P140" i="18"/>
  <c r="Q180" i="18"/>
  <c r="P180" i="18"/>
  <c r="Q162" i="18"/>
  <c r="P162" i="18"/>
  <c r="Q242" i="18"/>
  <c r="P242" i="18"/>
  <c r="Q253" i="18"/>
  <c r="P253" i="18"/>
  <c r="Q276" i="18"/>
  <c r="P276" i="18"/>
  <c r="Q229" i="18"/>
  <c r="P229" i="18"/>
  <c r="Q174" i="18"/>
  <c r="P174" i="18"/>
  <c r="Q196" i="18"/>
  <c r="P196" i="18"/>
  <c r="Q239" i="18"/>
  <c r="P239" i="18"/>
  <c r="Q185" i="18"/>
  <c r="P185" i="18"/>
  <c r="Q227" i="18"/>
  <c r="P227" i="18"/>
  <c r="Q214" i="18"/>
  <c r="P214" i="18"/>
  <c r="Q262" i="18"/>
  <c r="P262" i="18"/>
  <c r="Q283" i="18"/>
  <c r="P283" i="18"/>
  <c r="Q191" i="18"/>
  <c r="P191" i="18"/>
  <c r="Q251" i="18"/>
  <c r="P251" i="18"/>
  <c r="Q249" i="18"/>
  <c r="P249" i="18"/>
  <c r="Q210" i="18"/>
  <c r="P210" i="18"/>
  <c r="Q250" i="18"/>
  <c r="P250" i="18"/>
  <c r="Q199" i="18"/>
  <c r="P199" i="18"/>
  <c r="Q259" i="18"/>
  <c r="P259" i="18"/>
  <c r="Q260" i="18"/>
  <c r="P260" i="18"/>
  <c r="Q268" i="18"/>
  <c r="P268" i="18"/>
  <c r="Q252" i="18"/>
  <c r="P252" i="18"/>
  <c r="Q193" i="18"/>
  <c r="P193" i="18"/>
  <c r="Q233" i="18"/>
  <c r="P233" i="18"/>
  <c r="Q156" i="18"/>
  <c r="P156" i="18"/>
  <c r="Q237" i="18"/>
  <c r="P237" i="18"/>
  <c r="Q158" i="18"/>
  <c r="P158" i="18"/>
  <c r="Q207" i="18"/>
  <c r="P207" i="18"/>
  <c r="Q195" i="18"/>
  <c r="P195" i="18"/>
  <c r="Q154" i="18"/>
  <c r="P154" i="18"/>
  <c r="Q183" i="18"/>
  <c r="P183" i="18"/>
  <c r="Q264" i="18"/>
  <c r="P264" i="18"/>
  <c r="Q187" i="18"/>
  <c r="P187" i="18"/>
  <c r="O110" i="18"/>
  <c r="Q110" i="18" s="1"/>
  <c r="Q115" i="18"/>
  <c r="N292" i="18"/>
  <c r="M292" i="18"/>
  <c r="O18" i="18"/>
  <c r="O139" i="18"/>
  <c r="O127" i="18"/>
  <c r="Q127" i="18" s="1"/>
  <c r="O126" i="18"/>
  <c r="Q126" i="18" s="1"/>
  <c r="Q211" i="18"/>
  <c r="P26" i="18"/>
  <c r="Q34" i="18"/>
  <c r="P98" i="18"/>
  <c r="Q155" i="18"/>
  <c r="P61" i="18"/>
  <c r="Q117" i="18"/>
  <c r="Q256" i="18"/>
  <c r="Q215" i="18"/>
  <c r="Q223" i="18"/>
  <c r="P125" i="18"/>
  <c r="Q176" i="18"/>
  <c r="Q278" i="18"/>
  <c r="P79" i="18"/>
  <c r="P36" i="18"/>
  <c r="Q255" i="18"/>
  <c r="Q279" i="18"/>
  <c r="P116" i="18"/>
  <c r="P96" i="18"/>
  <c r="Q258" i="18"/>
  <c r="P288" i="18"/>
  <c r="P97" i="18"/>
  <c r="Q243" i="18"/>
  <c r="P94" i="18"/>
  <c r="Q135" i="18"/>
  <c r="P135" i="18"/>
  <c r="Q43" i="18"/>
  <c r="P43" i="18"/>
  <c r="P70" i="18"/>
  <c r="P71" i="18"/>
  <c r="P49" i="18"/>
  <c r="Q184" i="18"/>
  <c r="P52" i="18"/>
  <c r="P89" i="18"/>
  <c r="P109" i="18"/>
  <c r="P133" i="18"/>
  <c r="P54" i="18"/>
  <c r="P74" i="18"/>
  <c r="P23" i="18"/>
  <c r="P22" i="18"/>
  <c r="P73" i="18"/>
  <c r="P75" i="18"/>
  <c r="P106" i="18"/>
  <c r="P39" i="18"/>
  <c r="P95" i="18"/>
  <c r="P83" i="18"/>
  <c r="P58" i="18"/>
  <c r="Q123" i="18"/>
  <c r="P123" i="18"/>
  <c r="Q203" i="18"/>
  <c r="Q151" i="18"/>
  <c r="P134" i="18"/>
  <c r="Q134" i="18"/>
  <c r="Q224" i="18"/>
  <c r="Q132" i="18"/>
  <c r="P132" i="18"/>
  <c r="Q77" i="18"/>
  <c r="P77" i="18"/>
  <c r="Q55" i="18"/>
  <c r="P55" i="18"/>
  <c r="Q102" i="18"/>
  <c r="P102" i="18"/>
  <c r="Q272" i="18"/>
  <c r="Q136" i="18"/>
  <c r="P136" i="18"/>
  <c r="P129" i="18"/>
  <c r="Q236" i="18"/>
  <c r="P107" i="18"/>
  <c r="P85" i="18"/>
  <c r="Q81" i="18"/>
  <c r="P27" i="18"/>
  <c r="P113" i="18"/>
  <c r="P130" i="18"/>
  <c r="P57" i="18"/>
  <c r="P67" i="18"/>
  <c r="P87" i="18"/>
  <c r="P108" i="18"/>
  <c r="Q138" i="18"/>
  <c r="P24" i="18"/>
  <c r="Q235" i="18"/>
  <c r="P64" i="18"/>
  <c r="P128" i="18"/>
  <c r="P72" i="18"/>
  <c r="Q198" i="18"/>
  <c r="P48" i="18"/>
  <c r="P30" i="18"/>
  <c r="Q104" i="18"/>
  <c r="P104" i="18"/>
  <c r="P86" i="18"/>
  <c r="P63" i="18"/>
  <c r="P69" i="18"/>
  <c r="P50" i="18"/>
  <c r="P32" i="18"/>
  <c r="P68" i="18"/>
  <c r="Q232" i="18"/>
  <c r="Q59" i="18"/>
  <c r="P59" i="18"/>
  <c r="Q230" i="18"/>
  <c r="Q161" i="18"/>
  <c r="Q192" i="18"/>
  <c r="Q213" i="18"/>
  <c r="Q201" i="18"/>
  <c r="P37" i="18"/>
  <c r="Q247" i="18"/>
  <c r="Q228" i="18"/>
  <c r="Q206" i="18"/>
  <c r="Q20" i="18"/>
  <c r="P20" i="18"/>
  <c r="Q172" i="18"/>
  <c r="Q281" i="18"/>
  <c r="P31" i="18"/>
  <c r="P33" i="18"/>
  <c r="Q112" i="18"/>
  <c r="P112" i="18"/>
  <c r="Q51" i="18"/>
  <c r="P51" i="18"/>
  <c r="P40" i="18"/>
  <c r="Q40" i="18"/>
  <c r="P46" i="18"/>
  <c r="Q46" i="18"/>
  <c r="Q25" i="18"/>
  <c r="P25" i="18"/>
  <c r="Q246" i="18"/>
  <c r="P38" i="18"/>
  <c r="Q60" i="18"/>
  <c r="P60" i="18"/>
  <c r="P91" i="18"/>
  <c r="Q91" i="18"/>
  <c r="P21" i="18"/>
  <c r="Q137" i="18"/>
  <c r="P137" i="18"/>
  <c r="P99" i="18"/>
  <c r="P120" i="18"/>
  <c r="P41" i="18"/>
  <c r="P53" i="18"/>
  <c r="Q212" i="18"/>
  <c r="Q88" i="18"/>
  <c r="P88" i="18"/>
  <c r="P78" i="18"/>
  <c r="Q80" i="18"/>
  <c r="P80" i="18"/>
  <c r="P118" i="18"/>
  <c r="P122" i="18"/>
  <c r="Q66" i="18"/>
  <c r="P66" i="18"/>
  <c r="Q261" i="18"/>
  <c r="Q200" i="18"/>
  <c r="P56" i="18"/>
  <c r="P35" i="18"/>
  <c r="P92" i="18"/>
  <c r="Q144" i="18"/>
  <c r="P93" i="18"/>
  <c r="P100" i="18"/>
  <c r="P76" i="18"/>
  <c r="P44" i="18"/>
  <c r="P45" i="18"/>
  <c r="P114" i="18"/>
  <c r="P90" i="18"/>
  <c r="P119" i="18"/>
  <c r="Q141" i="18"/>
  <c r="Q105" i="18"/>
  <c r="P105" i="18"/>
  <c r="P111" i="18"/>
  <c r="Q153" i="18"/>
  <c r="P42" i="18"/>
  <c r="P65" i="18"/>
  <c r="P101" i="18"/>
  <c r="Q181" i="18"/>
  <c r="P62" i="18"/>
  <c r="P84" i="18"/>
  <c r="P131" i="18"/>
  <c r="P47" i="18"/>
  <c r="Q19" i="18"/>
  <c r="P19" i="18"/>
  <c r="Q82" i="18"/>
  <c r="P82" i="18"/>
  <c r="P124" i="18"/>
  <c r="Q121" i="18"/>
  <c r="P121" i="18"/>
  <c r="P28" i="18"/>
  <c r="P29" i="18"/>
  <c r="Q139" i="18" l="1"/>
  <c r="P139" i="18"/>
  <c r="P110" i="18"/>
  <c r="Q18" i="18"/>
  <c r="O292" i="18"/>
  <c r="N10" i="18" s="1"/>
  <c r="P18" i="18"/>
  <c r="P127" i="18"/>
  <c r="P126" i="18"/>
  <c r="N7" i="18"/>
  <c r="P16" i="18" l="1"/>
  <c r="Q16" i="18"/>
  <c r="L16" i="18"/>
</calcChain>
</file>

<file path=xl/sharedStrings.xml><?xml version="1.0" encoding="utf-8"?>
<sst xmlns="http://schemas.openxmlformats.org/spreadsheetml/2006/main" count="801" uniqueCount="520">
  <si>
    <t>ITEM</t>
  </si>
  <si>
    <t>UN</t>
  </si>
  <si>
    <t>4.0</t>
  </si>
  <si>
    <t>SERVIÇOS DE MANUTENÇÃO DO SISTEMA DE ILUMINAÇÃO PÚBLICA</t>
  </si>
  <si>
    <t>GESTÃO E MANUTENÇÃO DAS UNIDADES CONSUMIDORAS, CLASSIFICADAS COMO ILUMINAÇÃO PÚBLICA - PREÇO UNITÁRIO POR PONTO LUMINOSO.</t>
  </si>
  <si>
    <t xml:space="preserve">SERVIÇOS DE GESTÃO DO SISTEMA DE ILUMINAÇÃO PÚBLICA </t>
  </si>
  <si>
    <t>ABERTURA DE CAVA EM TERRENO NORMAL</t>
  </si>
  <si>
    <t>ABERTURA E FECHAMENTO DE VALA, LARGURA 40CM E PROFUNDIDADE 60 CM</t>
  </si>
  <si>
    <t>CADASTRO DE PONTO DE ILUMINAÇÃO PÚBLICA COM GEORREFERENCIAMENTO</t>
  </si>
  <si>
    <t>CONCRETAGEM DE DUTOS OU CABOS</t>
  </si>
  <si>
    <t>DESCARTE DE LÂMPADAS DE ACORDO COM A LEGISLTAÇÃO AMBIENTAL VIGENTE</t>
  </si>
  <si>
    <t>EXECUÇÃO DE ATERRAMENTO SIMPLES</t>
  </si>
  <si>
    <t>EXECUÇÃO DE BASE ENGASTADA COM TUBO DE CONCRETO PARA POSTES DE ATÉ 10M DE ALTURA</t>
  </si>
  <si>
    <t>EXECUÇÃO DE BASE ENGASTADA COM TUBO DE CONCRETO PARA POSTES DE 11M ATÉ 15M DE ALTURA</t>
  </si>
  <si>
    <t>FECHAMENTO DE CAVA</t>
  </si>
  <si>
    <t>IDENTIFICAÇÃO DE ILUMINAÇÃO COM PLAQUETA DE ALUMÍNIO</t>
  </si>
  <si>
    <t>INSTALAÇÃO DE CONDUTOR PARA ATERRAMENTO</t>
  </si>
  <si>
    <t>INSTALAÇÃO DE CAIXA DE CONCRETO PRÉ-FABRICADA COM TAMPA, DIMENSÕES DE 40X40X40CM</t>
  </si>
  <si>
    <t>INSTALAÇÃO DE CAIXA DE CONCRETO PRÉ-FABRICADA, DIMENSÕES DE 65CM</t>
  </si>
  <si>
    <t>INSTALAÇÃO DE CHAVE DE COMANDO PARA ILUMINAÇÃO PÚBLICA</t>
  </si>
  <si>
    <t>INSTALAÇÃO DE CONDUTORES DE BAIXA TENSÃO AÉREOS DE BITOLA ATÉ 70 MM2</t>
  </si>
  <si>
    <t>INSTALAÇÃO DE CONDUTORES DE BAIXA TENSÃO, EMBUTIDOS EM ELETRODUTOS OU ENTERRADOS, DE BITOLA ATÉ 70 MM2</t>
  </si>
  <si>
    <t>INSTALAÇÃO DE CORDA LUMINOSA COM DIÂMETRO ATÉ 13MM</t>
  </si>
  <si>
    <t>INSTALAÇÃO DE CORDÃO COM 100 MICRO LÂMPADAS</t>
  </si>
  <si>
    <t>INSTALAÇÃO DE CRUZETA PARA INSTALAÇÃO DE PROJETORES</t>
  </si>
  <si>
    <t>INSTALAÇÃO DE ESTRUTURA DE MT (15KV)</t>
  </si>
  <si>
    <t>INSTALAÇÃO DE FIGURA LUMINOSA EM POSTES, BRAÇOS EXISTENTES OU PAREDE DE EDIFICAÇÃO</t>
  </si>
  <si>
    <t>INSTALAÇÃO DE GRADE DE PROTEÇÃO PARA PROJETOR</t>
  </si>
  <si>
    <t>INSTALAÇÃO DE LUMINÁRIA EM BRAÇO DE ATÉ 1,5 METRO</t>
  </si>
  <si>
    <t>INSTALAÇÃO DE LUMINÁRIA EM BRAÇO SUPERIOR A 1,5 METRO</t>
  </si>
  <si>
    <t>INSTALAÇÃO DE LUMINÁRIA OU PROJETOR EM POSTE OU EM BRAÇO ORNAMENTAL, EM ALTURA DE ATÉ 10 METROS</t>
  </si>
  <si>
    <t>INSTALAÇÃO DE LUMINÁRIA OU PROJETOR EM POSTE OU EM BRAÇO ORNAMENTAL, EM ALTURA ENTRE 11 E 15 METROS</t>
  </si>
  <si>
    <t>INSTALAÇÃO DE LUMINÁRIA OU PROJETOR EMBUTIDO NO PISO</t>
  </si>
  <si>
    <t>INSTALAÇÃO DE LUMINÁRIA OU PROJETOR SOBRE O PISO</t>
  </si>
  <si>
    <t>INSTALAÇÃO DE PADRÃO DE ENTRADA DE BAIXA TENSÃO EM MURETA</t>
  </si>
  <si>
    <t>INSTALAÇÃO DE PADRÃO DE ENTRADA DE BAIXA TENSÃO EM POSTE</t>
  </si>
  <si>
    <t>INSTALAÇÃO DE PLACA DE OBRA</t>
  </si>
  <si>
    <t>INSTALAÇÃO DE POSTE ENTRE 11 E 15 METROS</t>
  </si>
  <si>
    <t>INSTALAÇÃO DE POSTE INFERIOR QUE 11 METROS</t>
  </si>
  <si>
    <t>INSTALAÇÃO DE POSTE SUPERIOR A 15 METROS</t>
  </si>
  <si>
    <t>INSTALAÇÃO DE PROJETOR EM FACHADAS, ALTURA ATÉ 10 METROS</t>
  </si>
  <si>
    <t>INSTALAÇÃO DE PROJETOR EM FACHADAS, ALTURA SUPERIOR A 10 METROS</t>
  </si>
  <si>
    <t>INSTALAÇÃO DE QUADRO DE COMANDO/PROTEÇÃO PARA ILUMINAÇÃO PÚBLICA</t>
  </si>
  <si>
    <t>INSTALAÇÃO DE RELÉ</t>
  </si>
  <si>
    <t>INSTALAÇÃO PROVISÓRIA DE ARMAÇÃO REDE BT</t>
  </si>
  <si>
    <t>INSTALAÇÃO PROVISÓRIA DE PONTO DE LUZ</t>
  </si>
  <si>
    <t>INSTALAÇÃO PROVISÓRIA DE POSTE DE CONCRETO ENTRE 150 A 600DAN, ALTURA ATÉ 12 METROS</t>
  </si>
  <si>
    <t>INSTALAÇÃO PROVISÓRIA DE PROJETOR COM LÂMPADA DE DESCARGA ATÉ 400W</t>
  </si>
  <si>
    <t>INSTALAÇÃO PROVISÓRIA DE QUADRO COM TOMADAS MONOFÁSICAS</t>
  </si>
  <si>
    <t>LANÇAMENTO DE ELETRODUTO APARENTE INCLUSO A FIXAÇÃO</t>
  </si>
  <si>
    <t>LANÇAMENTO DE ELETRODUTO CORRUGADO ATÉ 4"</t>
  </si>
  <si>
    <t>LIMPEZA INTERNA E EXTERNA DE LUMINÁRIA AÉREA</t>
  </si>
  <si>
    <t>LIMPEZA INTERNA E EXTERNA DE LUMINÁRIA SUBTERRÂNEA</t>
  </si>
  <si>
    <t>M&amp;V - INSTALAÇÃO E RETIRADA DE MULTIMEDIDOR DE GRANDEZAS ELÉTRICAS COM MEMÓRIA DE MASSA EM LUMINÁRIA</t>
  </si>
  <si>
    <t>M&amp;V - ELABORAÇÃO DE PLANO DE M&amp;V DE ACORDO COM PIMVP</t>
  </si>
  <si>
    <t>M&amp;V - ELABORAÇÃO DE RELATÓRIO DE M&amp;V DE ACORDO COM PIMVP</t>
  </si>
  <si>
    <t>PINTURA DE POSTE DE CONCRETO COM ATÉ 10 METROS</t>
  </si>
  <si>
    <t>PINTURA DE POSTE DE CONCRETO ENTRE 10 E 15 METROS</t>
  </si>
  <si>
    <t>PINTURA DE POSTE METÁLICO COM ATÉ 10 METROS</t>
  </si>
  <si>
    <t>PINTURA DE POSTE METÁLICO ENTRE 10 E 15 METROS</t>
  </si>
  <si>
    <t>PLANTÃO DE EQUIPE OPERACIONAL LEVE EM SÁBADOS, DOMINGOS E FERIADOS</t>
  </si>
  <si>
    <t>PLANTÃO DE EQUIPE OPERACIONAL LEVE EM DIAS DE SEMANA</t>
  </si>
  <si>
    <t>REMOÇÃO DE ARMAÇÃO BT</t>
  </si>
  <si>
    <t>REMOÇÃO DE ATERRAMENTO SIMPLES</t>
  </si>
  <si>
    <t>REMOÇÃO DE BASE DE CONCRETO DE POSTE DE ALTURA ATÉ 10 METROS</t>
  </si>
  <si>
    <t>REMOÇÃO DE CAIXA DE PASSAGEM DE ALVENARIA OU CONCRETO</t>
  </si>
  <si>
    <t>REMOÇÃO DE CHAVE DE COMANDO PARA ILUMINAÇÃO PÚBLICA</t>
  </si>
  <si>
    <t>REMOÇÃO DE CONDUTORES DE BAIXA TENSÃO AÉREOS DE BITOLA ATÉ 70 MM2</t>
  </si>
  <si>
    <t>REMOÇÃO DE CONDUTORES DE BAIXA TENSÃO, EMBUTIDOS EM ELETRODUTOS OU ENTERRADOS, DE BITOLA ATÉ 70 MM2</t>
  </si>
  <si>
    <t>REMOÇÃO DE CONTROLADOR INDIVIDUAL PARA TELEGESTÃO DE LUMINÁRIA</t>
  </si>
  <si>
    <t>REMOÇÃO DE CORDA LUMINOSA COM DIÂMETRO ATÉ 13MM</t>
  </si>
  <si>
    <t>REMOÇÃO DE CORDÃO COM 100 MICRO LÂMPADAS</t>
  </si>
  <si>
    <t>REMOÇÃO DE ELETRODUTO APARENTE</t>
  </si>
  <si>
    <t>REMOÇÃO DE FIGURA LUMINOSA EM POSTES, BRAÇOS EXISTENTES OU PAREDE DE EDIFICAÇÃO</t>
  </si>
  <si>
    <t>REMOÇÃO DE GRADE DE PROTEÇÃO PARA PROJETOR</t>
  </si>
  <si>
    <t>REMOÇÃO DE LUMINÁRIA EM BRAÇO DE 1 METRO</t>
  </si>
  <si>
    <t>REMOÇÃO DE LUMINÁRIA EM BRAÇO SUPERIOR A 1METRO</t>
  </si>
  <si>
    <t>REMOÇÃO DE LUMINÁRIA OU PROJETOR EM POSTE OU EM BRAÇO ORNAMENTAL, EM ALTURA DE ATÉ 10 METROS</t>
  </si>
  <si>
    <t>REMOÇÃO DE LUMINÁRIA OU PROJETOR EMBUTIDO NO PISO</t>
  </si>
  <si>
    <t>REMOÇÃO DE PLACA DE OBRA</t>
  </si>
  <si>
    <t>REMOÇÃO DE POSTE ATÉ 10 METROS</t>
  </si>
  <si>
    <t>REMOÇÃO DE PROJETOR EM FACHADA ALTURA ATÉ 10 METROS</t>
  </si>
  <si>
    <t>REMOÇÃO DE PROJETOR EM FACHADAS ALTURA SUPERIOR A 10 METROS</t>
  </si>
  <si>
    <t>REMOÇÃO DE RELÉ</t>
  </si>
  <si>
    <t>REMOÇÃO E RECOMPOSIÇÃO DE PISO ASFÁLTICO</t>
  </si>
  <si>
    <t>REMOÇÃO E RECOMPOSIÇÃO DE PISO NÃO ASFÁLTICO</t>
  </si>
  <si>
    <t>RETIRADA DE ESTRUTURA DE MÉDIA TENSÃO (15KV)</t>
  </si>
  <si>
    <t>SUBSTITUIÇÃO DE REATOR E LÂMPADA EM LUMINÁRIA INSTALADA EM ALTURA ATÉ 10 METROS</t>
  </si>
  <si>
    <t>SUBSTITUIÇÃO DE REATOR E LÂMPADA EM LUMINÁRIA INSTALADA EM ALTURA ENTRE 10 E 15 METROS</t>
  </si>
  <si>
    <t>SUBSTITUIÇÃO DE REATOR E LÂMPADA EM LUMINÁRIA INSTALADA EM ALTURA SUPERIOR A 15 METROS</t>
  </si>
  <si>
    <t>TRAVESSIA SUBTERRÂNEA - PERFURAÇÃO POR MÉTODO NÃO DESTRUTIVO</t>
  </si>
  <si>
    <t>ABRAÇADEIRA PARA AMARRAÇÃO, EM AÇO INOXIDÁVEL, AUTOTRAVANTE, 266X4,6MM</t>
  </si>
  <si>
    <t>ABRAÇADEIRA TIPO CUNHA EM AÇO GALVANIZADO A FOGO, CÔNICA, DIÂMETRO 1"</t>
  </si>
  <si>
    <t>ABRAÇADEIRA TIPO CUNHA EM AÇO GALVANIZADO A FOGO, CÔNICA, DIÂMETRO 1.1/2</t>
  </si>
  <si>
    <t>ABRAÇADEIRA TIPO CUNHA EM AÇO GALVANIZADO A FOGO, CÔNICA, DIÂMETRO 2"</t>
  </si>
  <si>
    <t>ABRAÇADEIRA TIPO CUNHA EM AÇO GALVANIZADO A FOGO, CÔNICA, DIÂMETRO 3/4"</t>
  </si>
  <si>
    <t>ALÇA PRÉ-FORMADA DE DISTRIBUIÇÃO PARA CABO DE ALUMÍNIO 2 AWG</t>
  </si>
  <si>
    <t>ALÇA PRÉ-FORMADA DE DISTRIBUIÇÃO PARA CABO DE ALUMÍNIO 4 AWG</t>
  </si>
  <si>
    <t>ARMAÇÃO SECUNDÁRIA DE 1 ESTRIBO, DIMENSÕES 110X125X5MM</t>
  </si>
  <si>
    <t>ARRUELA DE ALUMÍNIO PARA ELETRODUTO  Ø 1 1/2"</t>
  </si>
  <si>
    <t>ARRUELA QUADRADA 38X3MM, PARA PARAFUSO D16MM</t>
  </si>
  <si>
    <t>BASE PARA RELÊ FOTOELÉTRICO, 10A</t>
  </si>
  <si>
    <t>BOCAL DE PORCELANA, REFORÇADO, ROSCA E-27</t>
  </si>
  <si>
    <t>BOCAL DE PORCELANA, REFORÇADO, ROSCA E-40</t>
  </si>
  <si>
    <t>BRAÇO COMUM DE ILUMINAÇÃO PÚBLICA D25X2000MM</t>
  </si>
  <si>
    <t>BRAÇO ESPECIAL DE ILUMINAÇÃO PÚBLICA D33X1500MM</t>
  </si>
  <si>
    <t>BRAÇO ESPECIAL DE ILUMINAÇÃO PÚBLICA D48X3000MM</t>
  </si>
  <si>
    <t>BUCHA DE NYLON S8, COM PARAFUSO DE AÇO  INOXIDÁVEL</t>
  </si>
  <si>
    <t>BUCHA DE ALUMÍNIO PARA ELETRODUTO Ø 1 1/2"</t>
  </si>
  <si>
    <t>CABEÇOTE DE ALUMÍNIO PARA ELETRODUTO Ø 1 1/2"</t>
  </si>
  <si>
    <t>CABEÇOTE DE ALUMÍNIO PARA ELETRODUTO Ø 2"</t>
  </si>
  <si>
    <t>CABO DE COBRE NU, MEIO DURO, 25MM2</t>
  </si>
  <si>
    <t>CABO DE COBRE UNIPOLAR, FLEXÍVEL ISOLADO EM PVC, 750V, BITOLA 10MM2</t>
  </si>
  <si>
    <t>CABO DE COBRE UNIPOLAR, FLEXÍVEL ISOLADO EM PVC, 750V, BITOLA 2,5MM2</t>
  </si>
  <si>
    <t>CABO DE COBRE UNIPOLAR, FLEXÍVEL, ISOLADO EM PVC, EPR OU XLPE, 0,6/1KV, SEÇÃO 10MM2</t>
  </si>
  <si>
    <t>CABO DE COBRE UNIPOLAR, FLEXÍVEL, ISOLADO EM PVC, EPR OU XLPE, 0,6/1KV, SEÇÃO 16MM2</t>
  </si>
  <si>
    <t>CABO DE COBRE UNIPOLAR, FLEXÍVEL, ISOLADO EM PVC, EPR OU XLPE, 0,6/1KV, SEÇÃO 2,5MM2</t>
  </si>
  <si>
    <t>CABO DE COBRE UNIPOLAR, FLEXÍVEL, ISOLADO EM PVC, EPR OU XLPE, 0,6/1KV, SEÇÃO 25MM2</t>
  </si>
  <si>
    <t>CABO DE COBRE UNIPOLAR, FLEXÍVEL, ISOLADO EM PVC, EPR OU XLPE, 0,6/1KV, SEÇÃO 4,0MM2</t>
  </si>
  <si>
    <t>CABO DE COBRE UNIPOLAR, FLEXÍVEL, ISOLADO EM PVC, EPR OU XLPE, 0,6/1KV, SEÇÃO 6,0MM2</t>
  </si>
  <si>
    <t>CABO DE COBRE MULTIPOLAR, FLEXÍVEL, ISOLADO EM PVC, EPR OU XLPE, 0,6/1KV, SEÇÃO 2 X 2,5MM2</t>
  </si>
  <si>
    <t>CABO DE COBRE MULTIPOLAR, FLEXÍVEL, ISOLADO EM PVC, EPR OU XLPE, 0,6/1KV, SEÇÃO 3 X 2,5MM2</t>
  </si>
  <si>
    <t>CABO DE COBRE MULTIPOLAR, FLEXÍVEL, ISOLADO EM PVC, EPR OU XLPE, 0,6/1KV, SEÇÃO 3 X 6,0MM2</t>
  </si>
  <si>
    <t>CABO MULTIPLEXADO DE ALUMÍNIO, ISOLADO EM XLPE, 0,6/1KV, 1X25+25MM2</t>
  </si>
  <si>
    <t>CABO MULTIPLEXADO DE ALUMÍNIO, ISOLADO EM XLPE, 0,6/1KV, 3X25+25MM2</t>
  </si>
  <si>
    <t>CABO MULTIPLEXADO DE ALUMÍNIO, ISOLADO EM XLPE, 0,6/1KV, 3X50+50MM2</t>
  </si>
  <si>
    <t>CABO MULTIPLEXADO DE ALUMÍNIO, ISOLADO EM XLPE, 0,6/1KV, 1X16+16MM2</t>
  </si>
  <si>
    <t>CAIXA DE CONCRETO PRÉ-FABRICADA, DIMENSÕES DE 40X40X40CM, COM TAMPA DE CONCRETO</t>
  </si>
  <si>
    <t>CAIXA PARA ENTRADA DE ENERGIA EM BT, PRÉ-FABRICADA EM CONCRETO ARMADO, DIMENSÕES 65X41X70CM, SEM A TAMPA DE FERRO FUNDIDO</t>
  </si>
  <si>
    <t>CHAVE PARA COMANDO DE IP, 160/240V, 1X50A, COM BASE PARA RELÉ FOTOELÉTRICO</t>
  </si>
  <si>
    <t>CINTA PARA POSTE, SEÇÃO CIRCULAR, Ø 170MM</t>
  </si>
  <si>
    <t>CINTA PARA POSTE, SEÇÃO CIRCULAR, Ø 180MM</t>
  </si>
  <si>
    <t>CINTA PARA POSTE, SEÇÃO CIRCULAR, Ø 190MM</t>
  </si>
  <si>
    <t>CINTA PARA POSTE, SEÇÃO CIRCULAR, Ø 200MM</t>
  </si>
  <si>
    <t>CINTA PARA POSTE, SEÇÃO CIRCULAR, Ø 210MM</t>
  </si>
  <si>
    <t>CINTA PARA POSTE, SEÇÃO CIRCULAR, Ø 220MM</t>
  </si>
  <si>
    <t>CINTA PARA POSTE, SEÇÃO CIRCULAR, Ø 230MM</t>
  </si>
  <si>
    <t>CINTA PARA POSTE, SEÇÃO CIRCULAR, Ø 240MM</t>
  </si>
  <si>
    <t>CINTA PARA POSTE, SEÇÃO CIRCULAR, Ø 250MM</t>
  </si>
  <si>
    <t>CINTA PARA POSTE, SEÇÃO CIRCULAR, Ø 260MM</t>
  </si>
  <si>
    <t>CINTA PARA POSTE, SEÇÃO CIRCULAR, Ø 270MM</t>
  </si>
  <si>
    <t>CINTA PARA POSTE, SEÇÃO CIRCULAR, Ø 280MM</t>
  </si>
  <si>
    <t>CINTA PARA POSTE, SEÇÃO CIRCULAR, Ø 290MM</t>
  </si>
  <si>
    <t>CINTA PARA POSTE, SEÇÃO CIRCULAR, Ø 300MM</t>
  </si>
  <si>
    <t>CINTA PARA POSTE, SEÇÃO CIRCULAR, Ø 310MM</t>
  </si>
  <si>
    <t>CINTA REGULÁVEL EM AÇO INOX PARA FIXAÇÃO EM POSTE, DIMENSÕES 10X1MM</t>
  </si>
  <si>
    <t>CONDULETE DE ALUMÍNIO,  UNIVERSAL (PODEM SER UTILIZADOS COM O TIPO C, T, E, ETC.), PINTADO NA COR CINZA, Ø 1"</t>
  </si>
  <si>
    <t>CONDULETE DE ALUMÍNIO,  UNIVERSAL (PODEM SER UTILIZADOS COM O TIPO C, T, E, ETC.), PINTADO NA COR CINZA, Ø 2"</t>
  </si>
  <si>
    <t>CONDULETE DE ALUMÍNIO, UNIVERSAL (PODEM SER UTILIZADOS COM O TIPO C, T, E, ETC.), PINTADO NA COR CINZA, Ø 11/2"</t>
  </si>
  <si>
    <t>CONDULETE DE ALUMÍNIO, UNIVERSAL (PODEM SER UTILIZADOS COM O TIPO C, T, E, ETC.), PINTADO NA COR CINZA, Ø 3/4"</t>
  </si>
  <si>
    <t>CONECTOR CUNHA DE BAIXA TENSÃO TIPO A</t>
  </si>
  <si>
    <t>CONECTOR CUNHA DE BAIXA TENSÃO TIPO B</t>
  </si>
  <si>
    <t>CONECTOR CUNHA DE BAIXA TENSÃO TIPO I</t>
  </si>
  <si>
    <t>CONECTOR CUNHA DE BAIXA TENSÃO TIPO II</t>
  </si>
  <si>
    <t>CONECTOR CUNHA DE BAIXA TENSÃO TIPO III</t>
  </si>
  <si>
    <t>CONECTOR CUNHA DE BAIXA TENSÃO TIPO IV</t>
  </si>
  <si>
    <t>CONECTOR CUNHA DE BAIXA TENSÃO TIPO VII</t>
  </si>
  <si>
    <t>CONECTOR CUNHA PARA ATERRAMENTO, HASTE 5/8" E CABO DE COBRE NÚ 25-35 MM²</t>
  </si>
  <si>
    <t>CONECTOR DE DERIVAÇÃO PERFURANTE 10 - 95 X 1,5 - 10MM2</t>
  </si>
  <si>
    <t>CONECTOR DE DERIVAÇÃO PERFURANTE 16 -70 X 6 - 35MM2</t>
  </si>
  <si>
    <t>CONECTOR PARA CORDA LUMINOSA DIÂMETRO 13MM, COM PLUGUE E EMENDA</t>
  </si>
  <si>
    <t>EMENDA PARA CORDA LUMINOSA DIÂMETRO 13MM</t>
  </si>
  <si>
    <t>CONECTOR SAPATA PARA ATERRAMENTO DE TUBO DE AÇO</t>
  </si>
  <si>
    <t>CONECTOR TIPO H OU C OU PF PARA CABO PASSANTE EM COBRE SEÇÃO 10MM2 E CABO DERIVAÇÃO EM COBRE SEÇÃO 2,5MM2</t>
  </si>
  <si>
    <t>CONECTOR TIPO H OU C OU PF PARA CABO PASSANTE EM COBRE SEÇÃO 25MM2 E CABO DERIVAÇÃO EM COBRE SEÇÃO 2,5MM2</t>
  </si>
  <si>
    <t>CONJUNTO FUSÍVEL DIAZED, 6A, COMPLETO COM TRILHO, BASE, ANEL DE PROTEÇÃO, TAMPA E COBERTURA</t>
  </si>
  <si>
    <t>CONJUNTO FUSÍVEL NEOZED, 4A, COMPLETO COM TRILHO, COM BASE, TAMPA E ANEL DE AJUSTE</t>
  </si>
  <si>
    <t>CONJUNTO FUSÍVEL NEOZED, 6A, COMPLETO COM TRILHO, COM BASE, TAMPA E ANEL DE AJUSTE</t>
  </si>
  <si>
    <t>CONTATOR TRIPOLAR, 32A, 220 VCA, 50/60HZ, CATEGORIA AC3, FIXAÇÃO EM TRILHO DIN 35MM</t>
  </si>
  <si>
    <t>CORDA (MANGUEIRA) LUMINOSA FLEXÍVEL COM LED'S DE ALTO BRILHO, NAS CORES BRANCO, VERMELHO, AZUL, AMARELO OU VERDE, DIÂMETRO 10 MM, 2,4 W POR METRO, 36 LED'S POR METRO, UNIDADE DE CORTE A CADA 2 METROS, ALIMENTAÇÃO 220 V, 60 HZ, VIDA MEDIANA 80.000 HORAS, COM PROTEÇÃO CONTRA RADIAÇÃO UV, PARA USO AO TEMPO</t>
  </si>
  <si>
    <t>CORDA (MANGUEIRA) LUMINOSA FLEXÍVEL COM MICRO LÂMPADAS, NAS CORES BRANCO, VERMELHO, AZUL, AMARELO OU VERDE, DIÂMETRO 13MM, 2 FIOS, 220V, EM PVC MACIÇO ANTICHAMA, INCOLOR, PARA USO EXTERNO AO TEMPO</t>
  </si>
  <si>
    <t>CORDÃO DE NATAL COM 100 MICRO LÂMPADAS INCANDESCENTES NA COR BRANCA, VERMELHA, AZUL, AMARELA, VERDE OU COLORIDO, COM OU SEM PISCA-PISCA, 220V, 60 HZ, POTÊNCIA MÁXIMA 50 W, PARA USO AO TEMPO, PADRÃO UL</t>
  </si>
  <si>
    <t>CORDÃO DE NATAL COM 96  LED'S DE ALTO BRILHO, NA COR BRANCA, VERMELHA, AZUL, AMARELA OU VERDE, OU COLORIDO,  220 V, 60 HZ, POTÊNCIA MÁXIMA 10 W, PLUGUE COM FUSÍVEL 3 A/250 V, COM CONTROLE ELETRÔNICO DE PISCA-PISCA COM 8 FUNÇÕES, COMPRIMENTO MÍNIMO DE 5,50 METROS, PARA USO AO TEMPO, PADRÃO UL</t>
  </si>
  <si>
    <t>CRUZETA DE CONCRETO 90X112,5X2100MM</t>
  </si>
  <si>
    <t>CURVA DE AÇO GALVANIZADO À FOGO, Ø  11/2" X 90º, COM LUVA</t>
  </si>
  <si>
    <t>CURVA DE AÇO GALVANIZADO À FOGO, Ø  2" X 90º, COM LUVA</t>
  </si>
  <si>
    <t>CURVA DE AÇO GALVANIZADO À FOGO, Ø  3/4" X 90º, COM LUVA</t>
  </si>
  <si>
    <t>CURVA DE PVC  RÍGIDO, Ø  1"X90º, COM LUVA</t>
  </si>
  <si>
    <t>CURVA DE PVC  RÍGIDO, Ø  11/2"X90º</t>
  </si>
  <si>
    <t>CURVA DE PVC  RÍGIDO, Ø  2"X90º</t>
  </si>
  <si>
    <t>CURVA DE PVC  RÍGIDO, Ø  3/4"X90º</t>
  </si>
  <si>
    <t>DISJUNTOR DIFERENCIAL RESIDUAL (DR), CORRENTE NOMINAL 15A, BIPOLAR, CORRENTE RESIDUAL 30MA,  CAPACIDADE DE INTERRUPÇÃO 4,5KA, EM 380/220VCA, NORMA IEC 61009</t>
  </si>
  <si>
    <t>DISJUNTOR DIFERENCIAL RESIDUAL (DR), CORRENTE NOMINAL 25A, BIPOLAR, CORRENTE RESIDUAL 30MA,  CAPACIDADE DE INTERRUPÇÃO 4,5KA, EM 380/220VCA, NORMA IEC 61009</t>
  </si>
  <si>
    <t>DISJUNTOR DIFERENCIAL RESIDUAL (DR), CORRENTE NOMINAL 40A, TETRAPOLAR, CORRENTE RESIDUAL 30MA,  CAPACIDADE DE INTERRUPÇÃO 4,5KA, EM 380/220VCA, NORMA IEC 61009</t>
  </si>
  <si>
    <t>DISJUNTOR TERMOMAGNÉTICO, 15 À 30A, 2KA, 220VCA, 1 POLO, PADRÃO NEMA OU DIN</t>
  </si>
  <si>
    <t>DISJUNTOR TERMOMAGNÉTICO, 40 À 70A, 2KA EM 220VCA, 1 POLO, PADRÃO NEMA OU DIN</t>
  </si>
  <si>
    <t>DISJUNTOR TERMOMAGNÉTICO, CORRENTE NOMINAL 20, 25, 30, 40 OU 50A, 3 POLOS, EM CAIXA MOLDADA, CAPACIDADE DE INTERRUPÇÃO SIMÉTRICA 5KA, EM 380VCA, PADRÃO NEMA OU DIN</t>
  </si>
  <si>
    <t>DISJUNTOR TERMOMAGNÉTICO, CORRENTE NOMINAL 70 A 100A, 3 POLOS, EM CAIXA MOLDADA, CAPACIDADE DE INTERRUPÇÃO SIMÉTRICA 5KA, EM 380VCA, PADRÃO NEMA OU DIN,</t>
  </si>
  <si>
    <t>ELETRODUTO CORRUGADO FLEXÍVEL, EM PVC, Ø 25MM</t>
  </si>
  <si>
    <t>ELETRODUTO CORRUGADO, EM PEAD, Ø 1 1/2", TIPO KANALEX</t>
  </si>
  <si>
    <t>ELETRODUTO CORRUGADO, EM PEAD, Ø 2", TIPO KANALEX</t>
  </si>
  <si>
    <t>ELETRODUTO DE AÇO GALVANIZADO À FOGO, TIPO LEVE, Ø  1 1/2", TIPO LEVE</t>
  </si>
  <si>
    <t>ELETRODUTO DE AÇO GALVANIZADO À FOGO, TIPO LEVE, Ø  2", TIPO LEVE</t>
  </si>
  <si>
    <t>ELETRODUTO DE PVC RÍGIDO, Ø  1", PRETO</t>
  </si>
  <si>
    <t>ELETRODUTO DE PVC RÍGIDO, Ø  11/2", PRETO</t>
  </si>
  <si>
    <t>ELETRODUTO DE PVC RÍGIDO, Ø  2", PRETO</t>
  </si>
  <si>
    <t>ELETRODUTO DE PVC RÍGIDO, Ø  3/4", PRETO</t>
  </si>
  <si>
    <t>FECHO PARA FITA DE AÇO  INOXIDÁVEL 5/8"X0,6 MM, TIPO DENTADO</t>
  </si>
  <si>
    <t>FIGURA LUMINOSA CONFECCIONADA EM ESTRUTURA DE AÇO Ø = 3/8" PINTADA NA COR ALUMÍNIO, CURVADA, E/OU DOBRADA, E/OU SOLDADA PARA FORMAR A FIGURA, CONTORNADA POR CORDA (MANGUEIRA) LUMINOSA, BRANCA, VERMELHA, AZUL, AMARELA OU VERDE, DIÂMETRO 13MM, 2 FIOS, 220V, EM PVC MACIÇO, FIXADA À ESTRUTURA ATRAVÉS DE ABRAÇADEIRAS AUTOTRAVANTES. PREÇO POR METRO DE VERGALHÃO DE AÇO 3/8" CONTORNADO COM CORDA LUMINOSA QUE COMPÕE A FIGURA</t>
  </si>
  <si>
    <t>FIGURA LUMINOSA CONFECCIONADA EM ESTRUTURA DE AÇO Ø = 3/8", CURVADA, E/OU DOBRADA, E/OU SOLDADA, PINTADA NA COR ALUMÍNIO, CONTORNADA POR CORDA (MANGUEIRA) LUMINOSA COM LED'S DE ALTO BRILHO, NA COR BRANCA, VERMELHA, AZUL, AMARELA OU VERDE, COM 36 LED. PREÇO POR METRO DE VERGALHÃO CONTORNADO COM CORDA DE LED QUE COMPÕE A FIGURA</t>
  </si>
  <si>
    <t>FITA ISOLANTE AUTO FUSÃO, ROLO DE 10M</t>
  </si>
  <si>
    <t>FITA ISOLANTE LÍQUIDA, LATA DE 200ML</t>
  </si>
  <si>
    <t>FITA ISOLANTE PVC, ROLO DE 20M,</t>
  </si>
  <si>
    <t xml:space="preserve">FUSÍVEL DIAZED, 6A, </t>
  </si>
  <si>
    <t>FUSÍVEL NEOZED, 4A</t>
  </si>
  <si>
    <t>FUSÍVEL NEOZED, 6A</t>
  </si>
  <si>
    <t>HASTE DE TERRA COBREADA, DIÂMETRO 5/8"X 2,4M</t>
  </si>
  <si>
    <t>ISOLADOR ROLDANA DIM. 76X80MM, 1,3 KV EM PORCELANA</t>
  </si>
  <si>
    <t>LÂMPADA DE MULTIVAPORES METÁLICOS, 400 W, BULBO TUBULAR ,  BASE E-40, FLUXO LUMINOSO 8.700  LM OU MAIOR, VIDA MEDIANA 6.000 HORAS OU MAIOR, COR AZUL</t>
  </si>
  <si>
    <t>LÂMPADA DE MULTIVAPORES METÁLICOS, 70 W, BASE G-12, FLUXO LUMINOSO 7300 LUMENS OU MAIOR, VIDA MEDIANA 15.000 HORAS OU MAIOR, TEMPERATURA DE COR 3000 K +/- 10%,  IRC ≥ 88, TUBO DE DESCARGA CERÂMICO</t>
  </si>
  <si>
    <t>LÂMPADA DE MULTIVAPORES METÁLICOS, 1.000 W, BASE E-40, BULBO TUBULAR,  FLUXO LUMINOSO 85.000 LM OU MAIOR, VIDA MEDIANA 9.000 HORAS OU MAIOR, TEMPERATURA DE COR 7.250 K +/- 10%,  IRC≥ 90, TUBO DE QUARTZO, MOD. HQI-T 1000W/D, FAB. OSRAM</t>
  </si>
  <si>
    <t>LÂMPADA DE MULTIVAPORES METÁLICOS, 150 W, BASE E-40, FLUXO LUMINOSO 14.500 LUMENS OU MAIOR, VIDA MEDIANA 15.000 HORAS OU MAIOR, TEMPERATURA DE COR 3000 K +/- 10%,  IRC ≥ 83, TUBO DE DESCARGA CERÂMICO</t>
  </si>
  <si>
    <t>LÂMPADA DE MULTIVAPORES METÁLICOS, 250W, BASE E-40, FLUXO LUMINOSO 25.00 LUMENS OU MAIOR, VIDA ÚTIL 24.000 HORAS OU MAIOR, TEMPERATURA DE COR 3000 K +/- 10%,  IRC ≥ 80, TUBO DE DESCARGA CERÂMICO</t>
  </si>
  <si>
    <t>LÂMPADA VAPOR DE SÓDIO EM ALTA PRESSÃO, BULBO TUBULAR, 150W,  BASE E-40; FLUXO LUMINOSO 17500 LM OU MAIOR, VIDA MEDIANA MEDIANA 32.000 HORAS OU MAIOR</t>
  </si>
  <si>
    <t>LÂMPADA VAPOR DE SÓDIO EM ALTA PRESSÃO, BULBO TUBULAR, 250W,  BASE E-40; FLUXO LUMINOSO 33200 LM OU MAIOR, VIDA MEDIANA MEDIANA 32.000 HORAS OU MAIOR</t>
  </si>
  <si>
    <t>LÂMPADA VAPOR DE SÓDIO EM ALTA PRESSÃO, BULBO TUBULAR, 400W,  BASE E-40; FLUXO LUMINOSO 56500 LM OU MAIOR, VIDA MEDIANA MEDIANA 32.000 HORAS OU MAIOR</t>
  </si>
  <si>
    <t>LÂMPADA VAPOR DE SÓDIO EM ALTA PRESSÃO,  70W, BULBO TUBULAR, BASE E-27, FLUXO LUMINOSO 6600 LM OU MAIOR, VIDA MEDIANA MEDIANA 28.000 HORAS OU MAIOR</t>
  </si>
  <si>
    <t>LUMINÁRIA LED VIÁRIA PARA ILUMINAÇÃO PÚBLICA TIPO B, POTÊNCIA MÁXIMA 70W, FLUXO LUMINOSO MÍNIMO DE 9.100 LUMENS, CERTIFICADA DE ACORDO COM A PORTARIA Nº 20 DO INMETRO DE 15 DE FEVEREIRO DE 2017 CONFORME TERMO DE REFERÊNCIA</t>
  </si>
  <si>
    <t>LUMINÁRIA LED VIÁRIA PARA ILUMINAÇÃO PÚBLICA TIPO D, POTÊNCIA MÁXIMA 100W, FLUXO LUMINOSO MÍNIMO DE 13.000 LUMENS, CERTIFICADA DE ACORDO COM A PORTARIA Nº 20 DO INMETRO DE 15 DE FEVEREIRO DE 2017 CONFORME TERMO DE REFERÊNCIA</t>
  </si>
  <si>
    <t>LUMINÁRIA LED VIÁRIA PARA ILUMINAÇÃO PÚBLICA TIPO F, POTÊNCIA MÁXIMA 140W, FLUXO LUMINOSO MÍNIMO DE 18.200 LUMENS, CERTIFICADA DE ACORDO COM A PORTARIA Nº 20 DO INMETRO DE 15 DE FEVEREIRO DE 2017 CONFORME TERMO DE REFERÊNCIA</t>
  </si>
  <si>
    <t>LUMINÁRIA LED VIÁRIA PARA ILUMINAÇÃO PÚBLICA TIPO H, POTÊNCIA MÁXIMA 220W, FLUXO LUMINOSO MÍNIMO DE 28.600 LUMENS, CERTIFICADA DE ACORDO COM A PORTARIA Nº 20 DO INMETRO DE 15 DE FEVEREIRO DE 2017 CONFORME TERMO DE REFERÊNCIA</t>
  </si>
  <si>
    <t>LUMINÁRIA LED VIÁRIA PARA ILUMINAÇÃO PÚBLICA TIPO I, POTÊNCIA MÁXIMA 270W, FLUXO LUMINOSO MÍNIMO DE 35.100 LUMENS, CERTIFICADA DE ACORDO COM A PORTARIA Nº 20 DO INMETRO DE 15 DE FEVEREIRO DE 2017 CONFORME TERMO DE REFERÊNCIA</t>
  </si>
  <si>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65W, FLUXO LUMINOSO MÍNIMO DE 6.400LM, COM OPÇÕES DE DISTRIBUIÇÃO FOTOMÉTRICA SIMÉTRICA E ASSIMÉTRICA</t>
  </si>
  <si>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90W, FLUXO LUMINOSO MÍNIMO DE 9.500LM, COM OPÇÕES DE DISTRIBUIÇÃO FOTOMÉTRICA SIMÉTRICA E ASSIMÉTRICA</t>
  </si>
  <si>
    <t>LUMINÁRIA DECORATIVA DE LED PARA ILUMINAÇÃO DE ESPAÇOS PÚBLICOS, GRAU DE PROTEÇÃO DO CONJUNTO ÓPTICO E ALOJAMENTO DOS EQUIPAMENTOS AUXILIARES IP65 OU MAIOR, RESISTÊNCIA A CHOQUE IK 08 OU MAIOR, FIXAÇÃO EM TOPO DE POSTE DE 60,3MM, CONTROLADOR PARA TELEGESTÃO,  TEMPERATURA DE OPERAÇÃO ENTRE - 30ºC A 50ºC, IRC IGUAL OU MAIOR QUE 70, 220V, 60HZ, POTÊNCIA MÁXIMA DE 120W, FLUXO LUMINOSO MÍNIMO DE 12.000LM, COM OPÇÕES DE DISTRIBUIÇÃO FOTOMÉTRICA SIMÉTRICA E ASSIMÉTRICA</t>
  </si>
  <si>
    <t>NÚCLEO DE AÇO GALVANIZADO À FOGO, PINTADO EM POLIÉSTER NA COR DO POSTE OU OUTRA QUE VIER A SER ESPECIFICADA, PARA 2 LUMINÁRIAS TIPO PÉTALA, FIXAÇÃO EM POSTES COM DIÂMETRO DE TOPO 114MM</t>
  </si>
  <si>
    <t>NÚCLEO DE AÇO GALVANIZADO À FOGO, PINTADO EM POLIÉSTER NA COR DO POSTE OU OUTRA QUE VIER A SER ESPECIFICADA, PARA 3 LUMINÁRIAS TIPO PÉTALA, FIXAÇÃO EM POSTES COM DIÂMETRO DE TOPO 114MM</t>
  </si>
  <si>
    <t>NÚCLEO DE AÇO GALVANIZADO, PINTADO NA COR DO POSTE, PARA FIXAÇÃO DE DUAS LUMINÁRIAS EM TOPO DE POSTE DE DIÂMETRO DE 60MM, PONTA PARA ENCAIXE DA LUMINÁRIA Ø 60 MM</t>
  </si>
  <si>
    <t>NÚCLEO DE AÇO GALVANIZADO, PINTADO NA COR DO POSTE, PARA FIXAÇÃO DE QUATRO LUMINÁRIAS EM TOPO DE POSTE DE DIÂMETRO DE 60MM, PONTA PARA ENCAIXE DA LUMINÁRIA Ø 60 MM</t>
  </si>
  <si>
    <t>NÚCLEO DE AÇO GALVANIZADO, PINTADO NA COR DO POSTE, PARA FIXAÇÃO DE UMA LUMINÁRIA EM TOPO DE POSTE DE DIÂMETRO DE 60MM, PONTA PARA ENCAIXE DA LUMINÁRIA Ø 60 MM</t>
  </si>
  <si>
    <t>PARAFUSO DE CABEÇA QUADRADA D12X200MM</t>
  </si>
  <si>
    <t>PARAFUSO DE CABEÇA QUADRADA D12X250MM</t>
  </si>
  <si>
    <t>PARAFUSO DE CABEÇA QUADRADA D12X300MM</t>
  </si>
  <si>
    <t>PARAFUSO DE CABEÇA QUADRADA D16X300MM</t>
  </si>
  <si>
    <t>PLAQUETA DE ALUMÍNIO, DIMENSÕES MÍNIMAS DE  120X30X0,8MM, LETRAS E/OU NÚMEROS COM TAMANHO DE 25 X 15 (ALTURA X LARGURA) GRAVADAS EM RELEVO COM RASGOS OU FUROS NAS LATERAIS PARA FIXAÇÃO</t>
  </si>
  <si>
    <t>PORCA QUADRADA ROSCA M16, 24X24X13MM</t>
  </si>
  <si>
    <t>POSTE  RETO  EM AÇO GALVANIZADO À FOGO (ESPESSURA MÍN. CAMADA DE ZINCO 100 MICRONS),  CÔNICO CONTÍNUO, BASE ENGASTADA, RESISTENTE A VENTOS DE ATÉ 100KM/H, ALTURA LIVRE ACIMA DO SOLO 6 M, DIÂMETRO NO TOPO 60MM, COM JANELA DE INSPEÇÃO PARA FUSÍVEL TIPO D</t>
  </si>
  <si>
    <t>POSTE  RETO  EM AÇO GALVANIZADO À FOGO (ESPESSURA MÍN. CAMADA DE ZINCO 100 MICRONS),  CÔNICO CONTÍNUO, BASE ENGASTADA, RESISTENTE A VENTOS DE ATÉ 150KM/H, ALTURA LIVRE ACIMA DO SOLO 10 M, DIÂMETRO NO TOPO 60MM, COM JANELA DE INSPEÇÃO PARA FUSÍVEL TIPO D</t>
  </si>
  <si>
    <t>POSTE  RETO, EM AÇO GALVANIZADO À FOGO (ESPESSURA MÍN. CAMADA DE ZINCO 100 MICRONS),  CÔNICO CONTÍNUO, BASE ENGASTADA, RESISTENTE A VENTOS DE ATÉ 100KM/H, ALTURA LIVRE ACIMA DO SOLO 12 M, DIÂMETRO NO TOPO 60MM, COM JANELA DE INSPEÇÃO PARA FUSÍVEL TIPO D</t>
  </si>
  <si>
    <t>POSTE DE CONCRETO DUPLO T, 9/200</t>
  </si>
  <si>
    <t>POSTE RETO EM POLIÉSTER REFORÇADO COM FIBRA DE VIDRO (PRFV), ALTURA LIVRE 5 METROS, DIÂMETRO NO TOPO 60 MM, TIPO CÔNICO CONTÍNUO DE SEÇÃO CIRCULAR, BASE ENGASTADA, COM JANELA DE INSPEÇÃO COM SUPORTE PARA 2 FUSÍVEIS TIPO NEOZED, PINTADO NA COR BRANCO GELO OU OUTRA A SER DEFINIDA, COM ADERÊNCIA DA TINTA CONFORME NORMA  NBR 11003  DA ABNT</t>
  </si>
  <si>
    <t>PROJETOR LED PARA EMBUTIR NO SOLO DE ÓTICA CIRCULAR COM OPÇÕES DIVERSAS DE FOTOMETRIAS ENTRE 5° E 120°, IP 67, VIDA ÚTIL L70 @50.000 HORAS, TEMPERATURA DE OPERAÇÃO ENTRE - 30ºC A 50ºC, IRC &gt;80, OPÇÕES DE TK 3000, 4000 E RGB, 220V, 50/60HZ, POTÊNCIA MÁXIMA 50W, FLUXO MÍNIMO 3.000LM</t>
  </si>
  <si>
    <t>PROJETOR LED COM TECNOLOGIA LED INTEGRADA, USO EXTERNO, TEMPERATURA DE COR 4000K OU 5000K, IP 66, CORPO EM ALUMÍNIO INJETADO, IRC &gt; 70, TEMPERATURA DE OPERAÇÃO ENTRE - 30ºC A 50ºC,FLUXO MÍNIMO DE 12050 LM, POTÊNCIA MÁXIMA 100W.</t>
  </si>
  <si>
    <t>PROJETOR LED COM TECNOLOGIA LED INTEGRADA, USO EXTERNO, TEMPERATURA DE COR 4000K OU 5000K, IP 66, CORPO EM ALUMÍNIO INJETADO, IRC &gt; 70, TEMPERATURA DE OPERAÇÃO ENTRE - 30ºC A 50ºC,FLUXO MÍNIMO DE 16900 LM, POTÊNCIA MÁXIMA 150W.</t>
  </si>
  <si>
    <t>PROJETOR LED COM TECNOLOGIA LED INTEGRADA, USO EXTERNO, TEMPERATURA DE COR 4000K OU 5000K, IP 66, CORPO EM ALUMÍNIO INJETADO, IRC &gt; 70, TEMPERATURA DE OPERAÇÃO ENTRE - 30ºC A 50ºC,FLUXO MÍNIMO DE 33000 LM, POTÊNCIA MÁXIMA 250W.</t>
  </si>
  <si>
    <t>PROJETOR LED COM TECNOLOGIA LED INTEGRADA, USO EXTERNO, TEMPERATURA DE COR 4000K OU 5000K, IP 66, CORPO EM ALUMÍNIO INJETADO, IRC &gt; 70, TEMPERATURA DE OPERAÇÃO ENTRE - 30ºC A 50ºC,FLUXO MÍNIMO DE 36000 LM, POTÊNCIA MÁXIMA 300W.</t>
  </si>
  <si>
    <t>PROJETOR LED COM TECNOLOGIA LED INTEGRADA, USO EXTERNO, TEMPERATURA DE COR 4000K OU 5000K, IP 66, CORPO EM ALUMÍNIO INJETADO, IRC &gt; 70, TEMPERATURA DE OPERAÇÃO ENTRE - 30ºC A 50ºC,FLUXO MÍNIMO DE 45000 LM, POTÊNCIA MÁXIMA 350W.</t>
  </si>
  <si>
    <t>PROJETOR LED COM TECNOLOGIA LED INTEGRADA, USO EXTERNO, TEMPERATURA DE COR 4000K OU 5000K, IP 66, CORPO EM ALUMÍNIO INJETADO, IRC &gt; 70, TEMPERATURA DE OPERAÇÃO ENTRE - 30ºC A 50ºC,FLUXO MÍNIMO DE 54000 LM, POTÊNCIA MÁXIMA 400W.</t>
  </si>
  <si>
    <t>PROJETOR LED COM TECNOLOGIA LED INTEGRADA, USO EXTERNO, TEMPERATURA DE COR 4000K OU 5000K, IP 66, CORPO EM ALUMÍNIO INJETADO, IRC &gt; 70, TEMPERATURA DE OPERAÇÃO ENTRE - 30ºC A 50ºC,FLUXO MÍNIMO DE 70000 LM, POTÊNCIA MÁXIMA 500W.</t>
  </si>
  <si>
    <t>PROJETOR LED COM TECNOLOGIA LED INTEGRADA, USO EXTERNO, TEMPERATURA DE COR 4000K OU 5000K, IP 66, CORPO EM ALUMÍNIO INJETADO, IRC &gt; 70, TEMPERATURA DE OPERAÇÃO ENTRE - 30ºC A 50ºC,FLUXO MÍNIMO DE 91000 LM, POTÊNCIA MÁXIMA 650W.</t>
  </si>
  <si>
    <t>PROJETOR RETANGULAR  PARA LÂMPADA VAPOR DE SÓDIO OU METÁLICO ATÉ 150W, PORTA LÂMPADA RX7S, RX7S-24 OU E-27, CORPO EM LIGA DE ALUMÍNIO INJETADO, COM ALOJAMENTO PARA EQUIPAMENTOS AUXILIARES, PINTADO NA COR BRANCA, PRETA OU CINZA, REFLETOR EM ALUMÍNIO PURÍSSIMO, FACHO SIMÉTRICO OU ASSIMÉTRICO, ABERTO OU FECHADO, VIDRO PLANO TEMPERADO PARA PROTEÇÃO DO CONJUNTO ÓTICO, PLACA DE EQUIPAMENTOS AUXILIARES REMOVÍVEL, TODOS OS PARAFUSOS EXTERNOS EM AÇO INOXIDÁVEL OU LATÃO, GRAU DE PROTEÇÃO DO CONJUNTO ÓTICO IP-65, SUPORTE EM AÇO GALVANIZADO À FOGO OU ALUMÍNIO INJETADO,  COM INDICADOR DE GRADUAÇÃO VERTICAL</t>
  </si>
  <si>
    <t>PROJETOR RETANGULAR PARA LÂMPADA VAPOR DE SÓDIO OU VAPOR METÁLICO ATÉ 400W, PORTA-LÂMPADA  E-40, CORPO EM ALUMÍNIO INJETADO, COM ALOJAMENTO PARA EQUIPAMENTOS AUXILIARES, PINTURA EM POLIÉSTER A PÓ, NA COR CINZA, PRETO OU BRANCO, REFRATOR EM VIDRO PLANO TEMPERADO,  REFLETOR EM ALUMÍNIO DE ALTA PUREZA, ESTAMPADO E ANODIZADO, COM FACHO SIMÉTRICO, ABERTO OU FECHADO, PLACA DE  EQUIPAMENTOS AUXILIARES REMOVÍVEL, PARAFUSOS EXTERNOS EM INOXIDÁVEL OU LATÃO, PLACA DE  EQUIPAMENTOS AUXILIARES REMOVÍVEL, GRAU DE PROTEÇÃO DO CONJUNTO ÓTICO IP-65, SUPORTE EM AÇO GALVANIZADO À FOGO OU ALUMÍNIO INJETADO, COM INDICADOR GRADUADO PARA ORIENTAÇÃO VERTICAL</t>
  </si>
  <si>
    <t>QUADRO DE COMANDO E PROTEÇÃO DE ILUMINAÇÃO PÚBLICA, TRIFÁSICO 30A, EM ALUMÍNIO, CONTENDO 1 DISJUNTOR TRIPOLAR 30A, 1 CONTATOR TRIPOLAR 30A, 1 CHAVE COMUTADORA DE 3 POSIÇÕES (MANUAL, DESLIGA, AUTOMÁTICO), 1 RELÊ FOTOELÉTRICO COM BASE, 1 CONJUNTO FUSÍVEL NEOZED 2A, 1 PLAQUETA DE IDENTIFICAÇÃO EM ALUMÍNIO  6 X 3 CM, E BARRAMENTOS</t>
  </si>
  <si>
    <t>QUADRO DE COMANDO E PROTEÇÃO DE ILUMINAÇÃO PÚBLICA, TRIFÁSICO 50A, EM ALUMÍNIO, CONTENDO; 1 DISJUNTOR TRIPOLAR 50A, 1 CONTATOR TRIPOLAR 50A, 1 CHAVE COMUTADORA 3 POSIÇÕES (MANUAL, DESLIGA, AUTOMÁTICO), 1 RELÊ FOTOELÉTRICO, COM BASE, 1 CONJUNTO FUSÍVEL NEOZED 2A, 1 PLAQUETA DE IDENTIFICAÇÃO EM ALUMÍNIO  6 X 3 CM, E BARRAMENTOS</t>
  </si>
  <si>
    <t>QUADRO DE COMANDO E PROTEÇÃO DE ILUMINAÇÃO PÚBLICA, TRIFÁSICO 70A, EM ALUMÍNIO, CONTENDO; 1 DISJUNTOR TRIPOLAR 70A, 1 CONTATOR TRIPOLAR 70A, 1 CHAVE COMUTADORA 3 POSIÇÕES (MANUAL, DESLIGA, AUTOMÁTICO), 1 RELÊ FOTOELÉTRICO, COM BASE, 1 CONJUNTO FUSÍVEL NEOZED 2A, 1 PLAQUETA DE IDENTIFICAÇÃO, 6 X 3 CM, EM ALUMÍNIO E BARRAMENTOS</t>
  </si>
  <si>
    <t>QUADRO DE DISTRIBUIÇÃO, EM CHAPA DE AÇO GALVANIZADO ELETROLITICAMENTE OU EM MATERIAL TERMOPLÁSTICO AUTO EXTINGUÍVEL, COM PORTA, DE SOBREPOR OU DE EMBUTIR, COM BARRAMENTO TRIFÁSICO DE COBRE ELETROLÍTICO DE CAPACIDADE ATÉ 100A, ACABAMENTO COM PINTURA EM EPÓXI, COM SUPORTE PARA ATÉ 16 DISJUNTORES MONOPOLARES E UM TRIPOLAR, DIN, DISTÂNCIA ENTRE DISJUNTORES 18MM E DOIS BARRAMENTOS EM COBRE COM, 7 FUROS, PARA O NEUTRO E TERRA, INCLUSO ISOLADORES E PARAFUSOS, NÃO INCLUSO OS DISJUNTORES</t>
  </si>
  <si>
    <t>REATOR EXTERNO PARA LÂMPADA VAPOR DE SÓDIO 150W, 220V, 60HZ, FATOR DE POTÊNCIA 0,92 (MÍN.), COM IGNITOR TEMPORÁRIO,  GALVANIZADO À FOGO, PERDA MÁXIMA DE 18W</t>
  </si>
  <si>
    <t>REATOR EXTERNO PARA LÂMPADA VAPOR DE SÓDIO 250W, 220V, 60HZ, FATOR DE POTÊNCIA 0,92 (MÍN.), COM IGNITOR TEMPORÁRIO,  GALVANIZADO À FOGO, PERDA MÁXIMA DE 24W</t>
  </si>
  <si>
    <t>REATOR EXTERNO PARA LÂMPADA VAPOR DE SÓDIO 400W, 220V, 60HZ, FATOR DE POTÊNCIA 0,92 (MÍN.), COM IGNITOR TEMPORÁRIO,  GALVANIZADO À FOGO, PERDA MÁXIMA DE 32W</t>
  </si>
  <si>
    <t>REATOR EXTERNO PARA LÂMPADA VAPOR DE SÓDIO 70W, 220V, 60HZ, FATOR DE POTÊNCIA 0,92 (MÍN.), COM IGNITOR TEMPORÁRIO, GALVANIZADO À FOGO, PERDA MÁXIMA DE 12W</t>
  </si>
  <si>
    <t>REATOR INTERNO PARA LÂMPADA VAPOR DE SÓDIO 100W, 220V, 60HZ, FATOR DE POTÊNCIA 0,92 (MÍN.), COM IGNITOR, PERDA MÁXIMA 14W</t>
  </si>
  <si>
    <t>REATOR INTERNO PARA LÂMPADA VAPOR DE SÓDIO 150W, 220V, 60HZ, FATOR DE POTÊNCIA 0,92 (MÍN.), COM IGNITOR INCORPORADO, PERDA MÁXIMA 18W</t>
  </si>
  <si>
    <t>REATOR INTERNO PARA LÂMPADA VAPOR DE SÓDIO 250W, 220V, 60HZ, FATOR DE POTÊNCIA 0,92 (MÍN.), COM IGNITOR INCORPORADO, PERDA MÁXIMA 24W</t>
  </si>
  <si>
    <t>REATOR INTERNO PARA LÂMPADA VAPOR DE SÓDIO 400W, 220V, 60HZ, FATOR DE POTÊNCIA 0,92 (MÍN.), COM IGNITOR INCORPORADO, PERDA MÁXIMA 32W</t>
  </si>
  <si>
    <t>REATOR INTERNO PARA LÂMPADA VAPOR DE SÓDIO 600W, 220V, 60HZ, FATOR DE POTÊNCIA 0,92 (MÍN.), COM IGNITOR INCORPORADO, PERDA MÁXIMA 50W, CONFORME NORMA ABNT/NBR 13593</t>
  </si>
  <si>
    <t>REATOR INTERNO PARA LÂMPADA VAPOR DE SÓDIO 70W, 220V, 60HZ, FATOR DE POTÊNCIA 0,92 (MÍN.), COM IGNITOR INCORPORADO, PERDA MÁXIMA 12W</t>
  </si>
  <si>
    <t>REATOR INTERNO PARA LÂMPADA VAPOR METÁLICO 1.000W, 220V, 60HZ, ALTO FATOR DE POTÊNCIA, COM IGNITOR INCORPORADO, PERDA MÁXIMA DE 90W,  CONFORME NORMA ABNT/NBR 14305</t>
  </si>
  <si>
    <t>REATOR INTERNO PARA LÂMPADA VAPOR METÁLICO 250W, 220V, 60HZ, ALTO FATOR DE POTÊNCIA 0,92 (MÍN.), COM IGNITOR INCORPORADO, PERDA MÁXIMA DE 30W, CONFORME NORMA ABNT/NBR 14305</t>
  </si>
  <si>
    <t>REATOR INTERNO PARA LÂMPADA VAPOR METÁLICO 400W, 220V, 60HZ, ALTO FATOR DE POTÊNCIA, COM IGNITOR INCORPORADO, PERDA MÁXIMA DE 38W,  CONFORME NORMA ABNT/NBR 14305</t>
  </si>
  <si>
    <t>RELÉ FOTOELÉTRICO ELETRÔNICO, NF, TAMPA EM POLICARBONATO COM PROTEÇÃO UV, CONTATOS EM LATÃO ESTANHADO, TENSÃO NOMINAL 105 - 305 VCA, 1.800 VA, 60 HZ, ACIONAMENTO COM COM RETARDO DE 2 À 5 S PARA LIGAR, LIGA COM ILUMINAÇÃO MENOR QUE 10 LUX E DESLIGAMENTO MÁXIMO ATÉ 30 LUX, GRAU DE PROTEÇÃO IP 67</t>
  </si>
  <si>
    <t>TAMPA DE FERRO FUNDIDO NODULAR, DIMENSÕES 65X45X5CM, COM GUARNIÇÃO, 125 KN</t>
  </si>
  <si>
    <t>TAMPA METÁLICA, COM PARAFUSOS, PARA CAIXA DE FUSÍVEIS DE POSTES DE CONCRETO E DE AÇO</t>
  </si>
  <si>
    <t>TUBO DE AÇO GALVANIZADO À FOGO, TIPO PESADO, DIÂMETRO 1 1/2"</t>
  </si>
  <si>
    <t>MATERIAIS</t>
  </si>
  <si>
    <t>PROJETOS COMPLEMENTARES</t>
  </si>
  <si>
    <t>ELABORAÇÃO DE PROJETOS ELÉTRICOS</t>
  </si>
  <si>
    <t>M</t>
  </si>
  <si>
    <t>PÇ</t>
  </si>
  <si>
    <t>M2</t>
  </si>
  <si>
    <t>H</t>
  </si>
  <si>
    <t>CJ</t>
  </si>
  <si>
    <t>RL</t>
  </si>
  <si>
    <t xml:space="preserve"> PÇ </t>
  </si>
  <si>
    <t>HR</t>
  </si>
  <si>
    <t>1.0</t>
  </si>
  <si>
    <t>1.1</t>
  </si>
  <si>
    <t>2.0</t>
  </si>
  <si>
    <t>2.1</t>
  </si>
  <si>
    <t>2.2</t>
  </si>
  <si>
    <t>2.3</t>
  </si>
  <si>
    <t>2.4</t>
  </si>
  <si>
    <t>2.5</t>
  </si>
  <si>
    <t>2.6</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</si>
  <si>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</si>
  <si>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</si>
  <si>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</si>
  <si>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</si>
  <si>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</si>
  <si>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</si>
  <si>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</si>
  <si>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</si>
  <si>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</si>
  <si>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</si>
  <si>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</si>
  <si>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</si>
  <si>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</si>
  <si>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</si>
  <si>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</si>
  <si>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</si>
  <si>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</si>
  <si>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</si>
  <si>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</si>
  <si>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</si>
  <si>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</si>
  <si>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</si>
  <si>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</si>
  <si>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</si>
  <si>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</si>
  <si>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</si>
  <si>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</si>
  <si>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</si>
  <si>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</si>
  <si>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</si>
  <si>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</si>
  <si>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</si>
  <si>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</si>
  <si>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</si>
  <si>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</si>
  <si>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</si>
  <si>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</si>
  <si>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</si>
  <si>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</si>
  <si>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</si>
  <si>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</si>
  <si>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</si>
  <si>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</si>
  <si>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</si>
  <si>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</si>
  <si>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</si>
  <si>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</si>
  <si>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</si>
  <si>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</si>
  <si>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</si>
  <si>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</si>
  <si>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</si>
  <si>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</si>
  <si>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</si>
  <si>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</si>
  <si>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</si>
  <si>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</si>
  <si>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</si>
  <si>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</si>
  <si>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</si>
  <si>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</si>
  <si>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</si>
  <si>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</si>
  <si>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</si>
  <si>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</si>
  <si>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</si>
  <si>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</si>
  <si>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</si>
  <si>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</si>
  <si>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</si>
  <si>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</si>
  <si>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</si>
  <si>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</si>
  <si>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</si>
  <si>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</si>
  <si>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</si>
  <si>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</si>
  <si>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</si>
  <si>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</si>
  <si>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3.0</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</si>
  <si>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</si>
  <si>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</si>
  <si>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</si>
  <si>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</si>
  <si>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</si>
  <si>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</si>
  <si>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</si>
  <si>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</si>
  <si>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</si>
  <si>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</si>
  <si>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</si>
  <si>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</si>
  <si>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</si>
  <si>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</si>
  <si>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</si>
  <si>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</si>
  <si>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</si>
  <si>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</si>
  <si>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</si>
  <si>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</si>
  <si>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</si>
  <si>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</si>
  <si>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</si>
  <si>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</si>
  <si>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</si>
  <si>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</si>
  <si>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</si>
  <si>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</si>
  <si>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</si>
  <si>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</si>
  <si>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</si>
  <si>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</si>
  <si>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</si>
  <si>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</si>
  <si>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</si>
  <si>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</si>
  <si>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</si>
  <si>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</si>
  <si>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</si>
  <si>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</si>
  <si>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</si>
  <si>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</si>
  <si>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</si>
  <si>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</si>
  <si>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</si>
  <si>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</si>
  <si>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</si>
  <si>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</si>
  <si>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</si>
  <si>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</si>
  <si>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</si>
  <si>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</si>
  <si>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</si>
  <si>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</si>
  <si>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</si>
  <si>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</si>
  <si>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</si>
  <si>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</si>
  <si>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</si>
  <si>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</si>
  <si>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</si>
  <si>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</si>
  <si>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</si>
  <si>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</si>
  <si>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</si>
  <si>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</si>
  <si>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</si>
  <si>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</si>
  <si>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</si>
  <si>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</si>
  <si>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</si>
  <si>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</si>
  <si>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</si>
  <si>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</si>
  <si>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</si>
  <si>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</si>
  <si>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</si>
  <si>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</si>
  <si>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</si>
  <si>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</si>
  <si>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</si>
  <si>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</si>
  <si>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</si>
  <si>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</si>
  <si>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</si>
  <si>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</si>
  <si>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</si>
  <si>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</si>
  <si>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</si>
  <si>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</si>
  <si>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</si>
  <si>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</si>
  <si>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</si>
  <si>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</si>
  <si>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</si>
  <si>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</si>
  <si>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</si>
  <si>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</si>
  <si>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</si>
  <si>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4.1</t>
  </si>
  <si>
    <t>CONTRATAÇÃO DE EMPRESA DE ENGENHARIA PARA PRESTAÇÃO DOS SERVIÇOS DE MANUTENÇÃO DE CARÁTER PREVENTIVO E CORRETIVO NO PARQUE DE ILUMINAÇÃO PÚBLICA DO MUNICÍPIO DE  IPOJUCA - PE</t>
  </si>
  <si>
    <t>TOTAL</t>
  </si>
  <si>
    <t>VALOR DA MEDIÇÃO</t>
  </si>
  <si>
    <t>MANUTENÇÃO DA ILUMINAÇÃO PÚBLICA</t>
  </si>
  <si>
    <t>CONTRATO NATUREZA CONTINUA</t>
  </si>
  <si>
    <t>EMPRESA CONTRATADA</t>
  </si>
  <si>
    <t>FUNDO MUNICIPAL DE ILUMINAÇÃO PÚBLICA</t>
  </si>
  <si>
    <t>SALDO CONTRATUAL</t>
  </si>
  <si>
    <t>IPOJUCA - PE</t>
  </si>
  <si>
    <t>EIP SERVIÇOS DE ILUMINAÇÃO LTDA</t>
  </si>
  <si>
    <t>Nº 174/PMI-SEINFRA/2023</t>
  </si>
  <si>
    <t>SECRETARIA DE INFRAESTRUTURA E OBRAS</t>
  </si>
  <si>
    <t>LÂMPADA DE MULTIVAPORES METÁLICOS, 400 W, BULBO TUBULAR ,  BASE E-40, FLUXO LUMINOSO 8.700  LM OU MAIOR, VIDA MEDIANA 6.000 HORAS OU MAIOR, COR VERDE</t>
  </si>
  <si>
    <t>1º TERMO
ADITIVO</t>
  </si>
  <si>
    <t>X</t>
  </si>
  <si>
    <t>DESCRIÇÃO</t>
  </si>
  <si>
    <t>UNID.</t>
  </si>
  <si>
    <t>PREÇO
UNITÁRIO</t>
  </si>
  <si>
    <t>INÍCIO DO CONTRATO</t>
  </si>
  <si>
    <t>CT - DATA DA ASSINATURA</t>
  </si>
  <si>
    <t>OBJETO DO CTEF (RESUMIDO)</t>
  </si>
  <si>
    <t>LOCAL DA OBRA (BAIRRO / MUNICIPIO / UF)</t>
  </si>
  <si>
    <t>AGENTE FINANCEIRO OU AG. OPERADOR REPASSE</t>
  </si>
  <si>
    <t>TOMADOR/AG. PROMOTOR OU TOMADOR</t>
  </si>
  <si>
    <t>PERIODO DE MEDIÇÃO</t>
  </si>
  <si>
    <t>EXECUTADO FISICO (QUANTIDADE)</t>
  </si>
  <si>
    <t>ACUMULADO ATÉ O PERIODO ANTERIOR</t>
  </si>
  <si>
    <t>MEDIDO NO PERIODO</t>
  </si>
  <si>
    <t>ACUMULADO INCLUINDO O PERIODO ATUAL</t>
  </si>
  <si>
    <t>SALDO A EXECUTAR</t>
  </si>
  <si>
    <t>EXECUTADO FINANCEIRO (R$)</t>
  </si>
  <si>
    <t>DESVIO (%)</t>
  </si>
  <si>
    <t>VALOR PREVISTO</t>
  </si>
  <si>
    <t>VALOR TOTAL</t>
  </si>
  <si>
    <t>QUANT.
TOTAL</t>
  </si>
  <si>
    <t>QUANT.
PREVISTO</t>
  </si>
  <si>
    <t>2º TERMO
ADITIVO</t>
  </si>
  <si>
    <t>5.0</t>
  </si>
  <si>
    <t>ITENS NOVOS - DISPOSITIVOS DE PROTEÇÃO - MATERIAIS ELÉTRICOS</t>
  </si>
  <si>
    <t>5.1</t>
  </si>
  <si>
    <t>Dispositivos de proteção contra subtensão e sobretensão permanentes: Trata-se de um dispositivo tipo relé de subtensão e sobretensão, que desliga a luminária e/ou o relé de telegestão enquanto permanecer em estado de subtensão ou sobretensão permanentes e oferece aos gestores ou operadores da iluminação pública a possibilidade de reduzir os prejuízos causados pela queima prematura das luminárias de LED e de relés de telegestão, garantindo assim maior vida útil e a continuidade do serviço de iluminação pública. Quando a tensão elétrica da rede retorna para níveis acima de 170 Vac ou abaixo de 250Vac, a luminária é religada automaticamente. O dispositivo de proteção deverá ter, minimamente, as seguintes especificações técnicas: - Tensão de operação mínima: 160-380 Vac; -Frequência: 60 Hz; - Tensão para bloqueio &lt; 160Vac ou &gt; 260 Vac; - Tensão para desbloqueio &gt; 170 Vac ou &lt; 250 Vac; - Tempo de atuação para bloqueio e desbloqueio &lt;100 mS; - Grau de proteção: IP66 quando associado a uma luminária IP66; - Corrente máxima admissível: 5 A; -Caixa ABS com proteção UV; - Instalação plug &amp; play (ANSI C136-41 de 5 ou 7 pinos), para encaixe na tomada NEMA luminária sem que prejudique o adequado controle da luminária pelo relé de telegestão (ligar,desligar e dimerizar); - Deverá ter LEDs indicativos de status de funcionamento (não obrigatório); - Deverá ser apresentado ensaio laboratorial de características elétricas do dispositivo de proteção comprovando a sua perfeita funcionalidade. Garantia mínima de 5 (cinco) anos.</t>
  </si>
  <si>
    <t>5.2</t>
  </si>
  <si>
    <t>Dispositivos de proteção contra vazamento de corrente elétrica: Trata-se de um dispositivo que visa a proteção elétrica contra vazamento de corrente elétrica, o dispositivo efetua o desligamento da luminária e/ou poste de iluminação quando o mesmo apresenta vazamento de corrente elétrica igual ou superior a 30 mA. O dispositivo de proteção deverá ter, minimamente, as seguintes especificações técnicas: - Range de tensão:160-270 Vac; - Frequência da rede: 60 Hz; - Grau de proteção: IP68; -Corrente máxima admissível: 5 A; - Corrente de fuga de bloqueio &lt; 30mA; - Tempo de bloqueio &lt; 100 mS; - Representação luminosa com LED;- Temperatura: -25 °C à + 65 °C; - Reset: Imã externo. -Caixa ABS com proteção UV; Obs.1: Possibilita coordenação com outras proteções diferenciais. Deverá ser apresentado ensaio laboratorial de características elétricas do dispositivo de proteção comprovando a sua perfeita funcionalidade. Garantia mínima de 5 (cinco) anos.</t>
  </si>
  <si>
    <t>SOMA DOS BM's</t>
  </si>
  <si>
    <t xml:space="preserve">VALOR 1º + 2º TERMO ADT + APOSTILAMENTO </t>
  </si>
  <si>
    <t>BOLETIM DE MEDIÇÃO Nº 39</t>
  </si>
  <si>
    <t>01/04/2026 A 30/04/2026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</si>
</sst>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R$&quot;\ #,##0.00;[Red]\-&quot;R$&quot;\ #,##0.00"/>
    <numFmt numFmtId="44" formatCode="_-&quot;R$&quot;\ * #,##0.00_-;\-&quot;R$&quot;\ * #,##0.00_-;_-&quot;R$&quot;\ * &quot;-&quot;??_-;_-@_-"/>
    <numFmt numFmtId="43" formatCode="_-* #,##0.00_-;\-* #,##0.00_-;_-* &quot;-&quot;??_-;_-@_-"/>
    <numFmt numFmtId="164" formatCode="_(* #,##0.00_);_(* \(#,##0.00\);_(* &quot;-&quot;??_);_(@_)"/>
    <numFmt numFmtId="165" formatCode="000"/>
    <numFmt numFmtId="166" formatCode="_(* #,##0_);_(* \(#,##0\);_(* &quot;-&quot;??_);_(@_)"/>
    <numFmt numFmtId="167" formatCode="0.0"/>
    <numFmt numFmtId="168" formatCode="_(* #,##0.0_);_(* \(#,##0.0\);_(* &quot;-&quot;??_);_(@_)"/>
    <numFmt numFmtId="170" formatCode="&quot;R$&quot;\ #,##0.00"/>
    <numFmt numFmtId="171" formatCode="&quot;R$&quot;#,##0.00"/>
    <numFmt numFmtId="172" formatCode="_-* #,##0.0_-;\-* #,##0.0_-;_-* &quot;-&quot;?_-;_-@_-"/>
  </numFmts>
  <fonts count="3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theme="1"/>
      <name val="Calibri"/>
      <family val="2"/>
      <scheme val="minor"/>
    </font>
    <font>
      <sz val="10"/>
      <name val="Arial"/>
      <family val="2"/>
    </font>
    <font>
      <sz val="11"/>
      <color rgb="FF000000"/>
      <name val="Calibri"/>
      <family val="2"/>
      <charset val="204"/>
    </font>
    <font>
      <sz val="10"/>
      <color rgb="FF000000"/>
      <name val="Times New Roman"/>
      <family val="1"/>
    </font>
    <font>
      <sz val="10"/>
      <color rgb="FF000000"/>
      <name val="Times New Roman"/>
      <family val="1"/>
    </font>
    <font>
      <sz val="8"/>
      <name val="Arial"/>
      <family val="2"/>
    </font>
    <font>
      <sz val="10"/>
      <name val="Arial"/>
      <family val="2"/>
    </font>
    <font>
      <sz val="10"/>
      <color rgb="FF000000"/>
      <name val="Calibri"/>
      <family val="2"/>
      <scheme val="minor"/>
    </font>
    <font>
      <sz val="52"/>
      <color theme="1"/>
      <name val="Calibri"/>
      <family val="2"/>
      <scheme val="minor"/>
    </font>
    <font>
      <b/>
      <sz val="52"/>
      <color theme="1"/>
      <name val="Calibri"/>
      <family val="2"/>
      <scheme val="minor"/>
    </font>
    <font>
      <b/>
      <sz val="52"/>
      <name val="Calibri"/>
      <family val="2"/>
      <scheme val="minor"/>
    </font>
    <font>
      <b/>
      <sz val="52"/>
      <color rgb="FFFF0000"/>
      <name val="Calibri"/>
      <family val="2"/>
      <scheme val="minor"/>
    </font>
    <font>
      <b/>
      <sz val="52"/>
      <color theme="0"/>
      <name val="Calibri"/>
      <family val="2"/>
      <scheme val="minor"/>
    </font>
    <font>
      <sz val="52"/>
      <name val="Arial"/>
      <family val="2"/>
    </font>
    <font>
      <sz val="52"/>
      <name val="Calibri"/>
      <family val="2"/>
      <scheme val="minor"/>
    </font>
    <font>
      <sz val="52"/>
      <color rgb="FFFF0000"/>
      <name val="Calibri"/>
      <family val="2"/>
      <scheme val="minor"/>
    </font>
    <font>
      <sz val="52"/>
      <color theme="1"/>
      <name val="Arial"/>
      <family val="2"/>
    </font>
    <font>
      <b/>
      <sz val="52"/>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s>
  <cellStyleXfs count="1251">
    <xf numFmtId="0" fontId="0" fillId="0" borderId="0"/>
    <xf numFmtId="0" fontId="13" fillId="0" borderId="0"/>
    <xf numFmtId="9" fontId="11" fillId="0" borderId="0" applyFont="0" applyFill="0" applyBorder="0" applyAlignment="0" applyProtection="0"/>
    <xf numFmtId="9" fontId="12" fillId="0" borderId="0" applyFont="0" applyFill="0" applyBorder="0" applyAlignment="0" applyProtection="0"/>
    <xf numFmtId="164" fontId="11" fillId="0" borderId="0" applyFont="0" applyFill="0" applyBorder="0" applyAlignment="0" applyProtection="0"/>
    <xf numFmtId="164" fontId="12" fillId="0" borderId="0" applyFont="0" applyFill="0" applyBorder="0" applyAlignment="0" applyProtection="0"/>
    <xf numFmtId="165" fontId="12" fillId="0" borderId="0" applyFill="0" applyBorder="0" applyAlignment="0" applyProtection="0"/>
    <xf numFmtId="44" fontId="14" fillId="0" borderId="0" applyFont="0" applyFill="0" applyBorder="0" applyAlignment="0" applyProtection="0"/>
    <xf numFmtId="0" fontId="15" fillId="0" borderId="0"/>
    <xf numFmtId="0" fontId="11" fillId="0" borderId="0"/>
    <xf numFmtId="164" fontId="10" fillId="0" borderId="0" applyFont="0" applyFill="0" applyBorder="0" applyAlignment="0" applyProtection="0"/>
    <xf numFmtId="0" fontId="9" fillId="0" borderId="0"/>
    <xf numFmtId="0" fontId="9" fillId="0" borderId="0"/>
    <xf numFmtId="44" fontId="9" fillId="0" borderId="0" applyFont="0" applyFill="0" applyBorder="0" applyAlignment="0" applyProtection="0"/>
    <xf numFmtId="0" fontId="16" fillId="0" borderId="0"/>
    <xf numFmtId="0" fontId="11" fillId="0" borderId="0"/>
    <xf numFmtId="0" fontId="9"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9" fillId="0" borderId="0"/>
    <xf numFmtId="0" fontId="9" fillId="0" borderId="0"/>
    <xf numFmtId="44" fontId="17" fillId="0" borderId="0" applyFont="0" applyFill="0" applyBorder="0" applyAlignment="0" applyProtection="0"/>
    <xf numFmtId="0" fontId="9" fillId="0" borderId="0"/>
    <xf numFmtId="0" fontId="9" fillId="0" borderId="0"/>
    <xf numFmtId="0" fontId="9" fillId="0" borderId="0"/>
    <xf numFmtId="43" fontId="17" fillId="0" borderId="0" applyFont="0" applyFill="0" applyBorder="0" applyAlignment="0" applyProtection="0"/>
    <xf numFmtId="0" fontId="9" fillId="0" borderId="0"/>
    <xf numFmtId="0" fontId="9" fillId="0" borderId="0"/>
    <xf numFmtId="44" fontId="17" fillId="0" borderId="0" applyFont="0" applyFill="0" applyBorder="0" applyAlignment="0" applyProtection="0"/>
    <xf numFmtId="0" fontId="9" fillId="0" borderId="0"/>
    <xf numFmtId="0" fontId="8" fillId="0" borderId="0"/>
    <xf numFmtId="0" fontId="8" fillId="0" borderId="0"/>
    <xf numFmtId="0" fontId="8" fillId="0" borderId="0"/>
    <xf numFmtId="0" fontId="7" fillId="0" borderId="0"/>
    <xf numFmtId="0" fontId="6" fillId="0" borderId="0"/>
    <xf numFmtId="0" fontId="19" fillId="0" borderId="0"/>
    <xf numFmtId="0" fontId="6" fillId="0" borderId="0"/>
    <xf numFmtId="9"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5" fontId="11" fillId="0" borderId="0" applyFill="0" applyBorder="0" applyAlignment="0" applyProtection="0"/>
    <xf numFmtId="44" fontId="11"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0" fontId="6" fillId="0" borderId="0"/>
    <xf numFmtId="43" fontId="16" fillId="0" borderId="0" applyFont="0" applyFill="0" applyBorder="0" applyAlignment="0" applyProtection="0"/>
    <xf numFmtId="9" fontId="16" fillId="0" borderId="0" applyFont="0" applyFill="0" applyBorder="0" applyAlignment="0" applyProtection="0"/>
    <xf numFmtId="0" fontId="6" fillId="0" borderId="0"/>
    <xf numFmtId="0" fontId="6" fillId="0" borderId="0"/>
    <xf numFmtId="44" fontId="16" fillId="0" borderId="0" applyFont="0" applyFill="0" applyBorder="0" applyAlignment="0" applyProtection="0"/>
    <xf numFmtId="0" fontId="6" fillId="0" borderId="0"/>
    <xf numFmtId="0" fontId="6" fillId="0" borderId="0"/>
    <xf numFmtId="0" fontId="6" fillId="0" borderId="0"/>
    <xf numFmtId="43" fontId="16" fillId="0" borderId="0" applyFont="0" applyFill="0" applyBorder="0" applyAlignment="0" applyProtection="0"/>
    <xf numFmtId="0" fontId="6" fillId="0" borderId="0"/>
    <xf numFmtId="0" fontId="6" fillId="0" borderId="0"/>
    <xf numFmtId="44" fontId="1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44" fontId="11"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5" fillId="0" borderId="0"/>
    <xf numFmtId="0" fontId="5" fillId="0" borderId="0"/>
    <xf numFmtId="43" fontId="16" fillId="0" borderId="0" applyFont="0" applyFill="0" applyBorder="0" applyAlignment="0" applyProtection="0"/>
    <xf numFmtId="0" fontId="5" fillId="0" borderId="0"/>
    <xf numFmtId="0" fontId="5" fillId="0" borderId="0"/>
    <xf numFmtId="44" fontId="16" fillId="0" borderId="0" applyFont="0" applyFill="0" applyBorder="0" applyAlignment="0" applyProtection="0"/>
    <xf numFmtId="0" fontId="5" fillId="0" borderId="0"/>
    <xf numFmtId="0" fontId="5" fillId="0" borderId="0"/>
    <xf numFmtId="0" fontId="5" fillId="0" borderId="0"/>
    <xf numFmtId="43" fontId="16" fillId="0" borderId="0" applyFont="0" applyFill="0" applyBorder="0" applyAlignment="0" applyProtection="0"/>
    <xf numFmtId="0" fontId="5" fillId="0" borderId="0"/>
    <xf numFmtId="0" fontId="5" fillId="0" borderId="0"/>
    <xf numFmtId="44" fontId="1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5"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5" fillId="0" borderId="0"/>
    <xf numFmtId="0" fontId="5" fillId="0" borderId="0"/>
    <xf numFmtId="43" fontId="16" fillId="0" borderId="0" applyFont="0" applyFill="0" applyBorder="0" applyAlignment="0" applyProtection="0"/>
    <xf numFmtId="0" fontId="5" fillId="0" borderId="0"/>
    <xf numFmtId="0" fontId="5" fillId="0" borderId="0"/>
    <xf numFmtId="44" fontId="16" fillId="0" borderId="0" applyFont="0" applyFill="0" applyBorder="0" applyAlignment="0" applyProtection="0"/>
    <xf numFmtId="0" fontId="5" fillId="0" borderId="0"/>
    <xf numFmtId="0" fontId="5" fillId="0" borderId="0"/>
    <xf numFmtId="0" fontId="5" fillId="0" borderId="0"/>
    <xf numFmtId="43" fontId="16" fillId="0" borderId="0" applyFont="0" applyFill="0" applyBorder="0" applyAlignment="0" applyProtection="0"/>
    <xf numFmtId="0" fontId="5" fillId="0" borderId="0"/>
    <xf numFmtId="0" fontId="5" fillId="0" borderId="0"/>
    <xf numFmtId="44" fontId="1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4" fillId="0" borderId="0"/>
    <xf numFmtId="44" fontId="11"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4" fontId="11"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43" fontId="16" fillId="0" borderId="0" applyFont="0" applyFill="0" applyBorder="0" applyAlignment="0" applyProtection="0"/>
    <xf numFmtId="0" fontId="4" fillId="0" borderId="0"/>
    <xf numFmtId="0" fontId="4" fillId="0" borderId="0"/>
    <xf numFmtId="44" fontId="1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20" fillId="0" borderId="0"/>
    <xf numFmtId="44" fontId="20" fillId="0" borderId="0" applyFont="0" applyFill="0" applyBorder="0" applyAlignment="0" applyProtection="0"/>
    <xf numFmtId="0" fontId="3"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4" fontId="20" fillId="0" borderId="0" applyFont="0" applyFill="0" applyBorder="0" applyAlignment="0" applyProtection="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4" fontId="20" fillId="0" borderId="0" applyFont="0" applyFill="0" applyBorder="0" applyAlignment="0" applyProtection="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0" fontId="1" fillId="0" borderId="0"/>
    <xf numFmtId="44"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4" fontId="20" fillId="0" borderId="0" applyFont="0" applyFill="0" applyBorder="0" applyAlignment="0" applyProtection="0"/>
    <xf numFmtId="43" fontId="1" fillId="0" borderId="0" applyFont="0" applyFill="0" applyBorder="0" applyAlignment="0" applyProtection="0"/>
  </cellStyleXfs>
  <cellXfs count="112">
    <xf numFmtId="0" fontId="0" fillId="0" borderId="0" xfId="0"/>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1" fillId="0" borderId="1" xfId="0" applyFont="1" applyBorder="1" applyAlignment="1">
      <alignment horizontal="center" vertical="center" wrapText="1"/>
    </xf>
    <xf numFmtId="14" fontId="23" fillId="0" borderId="1" xfId="0" applyNumberFormat="1" applyFont="1" applyBorder="1" applyAlignment="1">
      <alignment horizontal="center" vertical="center" wrapText="1"/>
    </xf>
    <xf numFmtId="14" fontId="22" fillId="0" borderId="1" xfId="0" applyNumberFormat="1" applyFont="1" applyBorder="1" applyAlignment="1">
      <alignment horizontal="center" vertical="center"/>
    </xf>
    <xf numFmtId="14" fontId="21" fillId="0" borderId="1" xfId="0" applyNumberFormat="1" applyFont="1" applyBorder="1" applyAlignment="1">
      <alignment horizontal="center" vertical="center"/>
    </xf>
    <xf numFmtId="170" fontId="22" fillId="0" borderId="1" xfId="0" applyNumberFormat="1" applyFont="1" applyBorder="1" applyAlignment="1">
      <alignment horizontal="center" vertical="center"/>
    </xf>
    <xf numFmtId="170" fontId="21" fillId="0" borderId="1" xfId="4" applyNumberFormat="1" applyFont="1" applyBorder="1" applyAlignment="1">
      <alignment horizontal="center" vertical="center" wrapText="1"/>
    </xf>
    <xf numFmtId="8" fontId="22" fillId="0" borderId="1" xfId="0" applyNumberFormat="1" applyFont="1" applyBorder="1" applyAlignment="1">
      <alignment horizontal="center" wrapText="1"/>
    </xf>
    <xf numFmtId="170" fontId="21" fillId="0" borderId="1" xfId="4" applyNumberFormat="1" applyFont="1" applyBorder="1" applyAlignment="1">
      <alignment horizontal="center" vertical="center"/>
    </xf>
    <xf numFmtId="0" fontId="22"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1" fontId="22" fillId="4" borderId="8" xfId="0" applyNumberFormat="1" applyFont="1" applyFill="1" applyBorder="1" applyAlignment="1">
      <alignment horizontal="center" vertical="center" wrapText="1" shrinkToFit="1"/>
    </xf>
    <xf numFmtId="0" fontId="22" fillId="4" borderId="9" xfId="9" applyFont="1" applyFill="1" applyBorder="1" applyAlignment="1">
      <alignment horizontal="left" vertical="top" wrapText="1"/>
    </xf>
    <xf numFmtId="44" fontId="25" fillId="4" borderId="9" xfId="7" applyFont="1" applyFill="1" applyBorder="1" applyAlignment="1">
      <alignment horizontal="center" vertical="top" wrapText="1"/>
    </xf>
    <xf numFmtId="0" fontId="25" fillId="4" borderId="9" xfId="0" applyFont="1" applyFill="1" applyBorder="1" applyAlignment="1">
      <alignment horizontal="center" vertical="center" wrapText="1"/>
    </xf>
    <xf numFmtId="0" fontId="25" fillId="4" borderId="9" xfId="0" applyFont="1" applyFill="1" applyBorder="1" applyAlignment="1">
      <alignment vertical="center" wrapText="1"/>
    </xf>
    <xf numFmtId="0" fontId="26" fillId="0" borderId="0" xfId="0" applyFont="1"/>
    <xf numFmtId="167" fontId="21" fillId="0" borderId="1" xfId="0" applyNumberFormat="1" applyFont="1" applyBorder="1" applyAlignment="1">
      <alignment horizontal="center" vertical="center" wrapText="1"/>
    </xf>
    <xf numFmtId="0" fontId="27" fillId="0" borderId="1" xfId="0" applyFont="1" applyBorder="1" applyAlignment="1">
      <alignment vertical="center" wrapText="1"/>
    </xf>
    <xf numFmtId="44" fontId="27" fillId="0" borderId="1" xfId="7" applyFont="1" applyFill="1" applyBorder="1" applyAlignment="1">
      <alignment horizontal="center" vertical="center" wrapText="1"/>
    </xf>
    <xf numFmtId="2" fontId="27" fillId="0" borderId="1" xfId="0" applyNumberFormat="1" applyFont="1" applyBorder="1" applyAlignment="1">
      <alignment horizontal="center" vertical="center" wrapText="1"/>
    </xf>
    <xf numFmtId="2" fontId="23" fillId="0" borderId="1" xfId="0" applyNumberFormat="1" applyFont="1" applyBorder="1" applyAlignment="1">
      <alignment horizontal="center" vertical="center" wrapText="1"/>
    </xf>
    <xf numFmtId="44" fontId="27" fillId="0" borderId="1" xfId="7" applyFont="1" applyFill="1" applyBorder="1" applyAlignment="1">
      <alignment vertical="center" wrapText="1"/>
    </xf>
    <xf numFmtId="168" fontId="27" fillId="0" borderId="1" xfId="4" applyNumberFormat="1" applyFont="1" applyFill="1" applyBorder="1" applyAlignment="1">
      <alignment horizontal="center" vertical="center" wrapText="1"/>
    </xf>
    <xf numFmtId="44" fontId="27" fillId="0" borderId="1" xfId="0" applyNumberFormat="1" applyFont="1" applyBorder="1" applyAlignment="1">
      <alignment horizontal="center" vertical="center" wrapText="1"/>
    </xf>
    <xf numFmtId="44" fontId="22" fillId="4" borderId="9" xfId="7" applyFont="1" applyFill="1" applyBorder="1" applyAlignment="1">
      <alignment horizontal="center" vertical="top" wrapText="1"/>
    </xf>
    <xf numFmtId="0" fontId="22" fillId="4" borderId="9" xfId="0" applyFont="1" applyFill="1" applyBorder="1" applyAlignment="1">
      <alignment horizontal="center" vertical="center" wrapText="1"/>
    </xf>
    <xf numFmtId="0" fontId="22" fillId="4" borderId="9" xfId="0" applyFont="1" applyFill="1" applyBorder="1" applyAlignment="1">
      <alignment vertical="center" wrapText="1"/>
    </xf>
    <xf numFmtId="43" fontId="22" fillId="4" borderId="9" xfId="0" applyNumberFormat="1" applyFont="1" applyFill="1" applyBorder="1" applyAlignment="1">
      <alignment vertical="center" wrapText="1"/>
    </xf>
    <xf numFmtId="44" fontId="22" fillId="4" borderId="9" xfId="0" applyNumberFormat="1" applyFont="1" applyFill="1" applyBorder="1" applyAlignment="1">
      <alignment horizontal="center" vertical="center" wrapText="1"/>
    </xf>
    <xf numFmtId="3" fontId="21" fillId="0" borderId="1" xfId="0" applyNumberFormat="1" applyFont="1" applyBorder="1" applyAlignment="1">
      <alignment horizontal="center" vertical="center" wrapText="1"/>
    </xf>
    <xf numFmtId="172" fontId="22" fillId="4" borderId="9" xfId="0" applyNumberFormat="1" applyFont="1" applyFill="1" applyBorder="1" applyAlignment="1">
      <alignment horizontal="center" vertical="center" wrapText="1"/>
    </xf>
    <xf numFmtId="0" fontId="30" fillId="4" borderId="10" xfId="0" applyFont="1" applyFill="1" applyBorder="1" applyAlignment="1">
      <alignment horizontal="center" vertical="center"/>
    </xf>
    <xf numFmtId="0" fontId="30" fillId="4" borderId="11" xfId="0" applyFont="1" applyFill="1" applyBorder="1" applyAlignment="1">
      <alignment vertical="center" wrapText="1"/>
    </xf>
    <xf numFmtId="44" fontId="27" fillId="4" borderId="9" xfId="7" applyFont="1" applyFill="1" applyBorder="1" applyAlignment="1">
      <alignment horizontal="center" vertical="center" wrapText="1"/>
    </xf>
    <xf numFmtId="2" fontId="27" fillId="4" borderId="9" xfId="0" applyNumberFormat="1" applyFont="1" applyFill="1" applyBorder="1" applyAlignment="1">
      <alignment horizontal="center" vertical="center" wrapText="1"/>
    </xf>
    <xf numFmtId="44" fontId="27" fillId="4" borderId="9" xfId="7" applyFont="1" applyFill="1" applyBorder="1" applyAlignment="1">
      <alignment vertical="center" wrapText="1"/>
    </xf>
    <xf numFmtId="43" fontId="28" fillId="4" borderId="9" xfId="7" applyNumberFormat="1" applyFont="1" applyFill="1" applyBorder="1" applyAlignment="1">
      <alignment vertical="center" wrapText="1"/>
    </xf>
    <xf numFmtId="0" fontId="29" fillId="0" borderId="1" xfId="0" applyFont="1" applyBorder="1" applyAlignment="1">
      <alignment horizontal="center" vertical="center"/>
    </xf>
    <xf numFmtId="0" fontId="29" fillId="0" borderId="1" xfId="0" applyFont="1" applyBorder="1" applyAlignment="1">
      <alignment vertical="center" wrapText="1"/>
    </xf>
    <xf numFmtId="44" fontId="27" fillId="0" borderId="13" xfId="7" applyFont="1" applyBorder="1" applyAlignment="1">
      <alignment horizontal="center" wrapText="1"/>
    </xf>
    <xf numFmtId="44" fontId="27" fillId="0" borderId="13" xfId="7" applyFont="1" applyBorder="1" applyAlignment="1">
      <alignment wrapText="1"/>
    </xf>
    <xf numFmtId="44" fontId="27" fillId="0" borderId="13" xfId="7" applyFont="1" applyBorder="1" applyAlignment="1">
      <alignment vertical="center" wrapText="1"/>
    </xf>
    <xf numFmtId="166" fontId="27" fillId="0" borderId="13" xfId="4" applyNumberFormat="1" applyFont="1" applyBorder="1" applyAlignment="1">
      <alignment horizontal="center" wrapText="1"/>
    </xf>
    <xf numFmtId="168" fontId="27" fillId="0" borderId="13" xfId="4" applyNumberFormat="1" applyFont="1" applyFill="1" applyBorder="1" applyAlignment="1">
      <alignment horizontal="center" vertical="center" wrapText="1"/>
    </xf>
    <xf numFmtId="166" fontId="27" fillId="0" borderId="13" xfId="4" applyNumberFormat="1" applyFont="1" applyBorder="1" applyAlignment="1">
      <alignment wrapText="1"/>
    </xf>
    <xf numFmtId="44" fontId="27" fillId="2" borderId="13" xfId="7" applyFont="1" applyFill="1" applyBorder="1" applyAlignment="1">
      <alignment wrapText="1"/>
    </xf>
    <xf numFmtId="44" fontId="23" fillId="0" borderId="13" xfId="7" applyFont="1" applyBorder="1" applyAlignment="1">
      <alignment vertical="center" wrapText="1"/>
    </xf>
    <xf numFmtId="0" fontId="27" fillId="0" borderId="13" xfId="0" applyFont="1" applyBorder="1" applyAlignment="1">
      <alignment wrapText="1"/>
    </xf>
    <xf numFmtId="0" fontId="21" fillId="0" borderId="0" xfId="0" applyFont="1" applyAlignment="1">
      <alignment horizontal="center" vertical="center"/>
    </xf>
    <xf numFmtId="0" fontId="27" fillId="0" borderId="0" xfId="0" applyFont="1" applyAlignment="1">
      <alignment wrapText="1"/>
    </xf>
    <xf numFmtId="44" fontId="27" fillId="0" borderId="0" xfId="7" applyFont="1" applyAlignment="1">
      <alignment horizontal="center"/>
    </xf>
    <xf numFmtId="44" fontId="27" fillId="0" borderId="0" xfId="7" applyFont="1"/>
    <xf numFmtId="44" fontId="27" fillId="0" borderId="0" xfId="7" applyFont="1" applyAlignment="1">
      <alignment vertical="center"/>
    </xf>
    <xf numFmtId="166" fontId="27" fillId="0" borderId="0" xfId="4" applyNumberFormat="1" applyFont="1"/>
    <xf numFmtId="166" fontId="27" fillId="0" borderId="0" xfId="4" applyNumberFormat="1" applyFont="1" applyAlignment="1">
      <alignment horizontal="center"/>
    </xf>
    <xf numFmtId="0" fontId="27" fillId="0" borderId="0" xfId="0" applyFont="1" applyAlignment="1">
      <alignment horizontal="center" vertical="center"/>
    </xf>
    <xf numFmtId="0" fontId="27" fillId="0" borderId="0" xfId="0" applyFont="1"/>
    <xf numFmtId="0" fontId="22" fillId="4" borderId="3" xfId="0" applyFont="1" applyFill="1" applyBorder="1" applyAlignment="1">
      <alignment horizontal="center"/>
    </xf>
    <xf numFmtId="0" fontId="24" fillId="4" borderId="3" xfId="0" applyFont="1" applyFill="1" applyBorder="1" applyAlignment="1">
      <alignment horizontal="center"/>
    </xf>
    <xf numFmtId="0" fontId="27" fillId="2" borderId="1" xfId="0" applyFont="1" applyFill="1" applyBorder="1" applyAlignment="1">
      <alignment vertical="center" wrapText="1"/>
    </xf>
    <xf numFmtId="44" fontId="27" fillId="2" borderId="1" xfId="7" applyFont="1" applyFill="1" applyBorder="1" applyAlignment="1">
      <alignment horizontal="center" vertical="center" wrapText="1"/>
    </xf>
    <xf numFmtId="2" fontId="27" fillId="2" borderId="1" xfId="0" applyNumberFormat="1" applyFont="1" applyFill="1" applyBorder="1" applyAlignment="1">
      <alignment horizontal="center" vertical="center" wrapText="1"/>
    </xf>
    <xf numFmtId="44" fontId="27" fillId="2" borderId="1" xfId="7" applyFont="1" applyFill="1" applyBorder="1" applyAlignment="1">
      <alignment vertical="center" wrapText="1"/>
    </xf>
    <xf numFmtId="168" fontId="27" fillId="2" borderId="1" xfId="4" applyNumberFormat="1" applyFont="1" applyFill="1" applyBorder="1" applyAlignment="1">
      <alignment horizontal="center" vertical="center" wrapText="1"/>
    </xf>
    <xf numFmtId="1" fontId="22" fillId="4" borderId="1" xfId="0" applyNumberFormat="1" applyFont="1" applyFill="1" applyBorder="1" applyAlignment="1">
      <alignment horizontal="center" vertical="center" wrapText="1" shrinkToFit="1"/>
    </xf>
    <xf numFmtId="167" fontId="21" fillId="0" borderId="4" xfId="0" applyNumberFormat="1" applyFont="1" applyBorder="1" applyAlignment="1">
      <alignment horizontal="center" vertical="center" wrapText="1"/>
    </xf>
    <xf numFmtId="0" fontId="27" fillId="0" borderId="4" xfId="0" applyFont="1" applyBorder="1" applyAlignment="1">
      <alignment vertical="center" wrapText="1"/>
    </xf>
    <xf numFmtId="44" fontId="27" fillId="0" borderId="4" xfId="7" applyFont="1" applyFill="1" applyBorder="1" applyAlignment="1">
      <alignment horizontal="center" vertical="center" wrapText="1"/>
    </xf>
    <xf numFmtId="2" fontId="27" fillId="0" borderId="4" xfId="0" applyNumberFormat="1" applyFont="1" applyBorder="1" applyAlignment="1">
      <alignment horizontal="center" vertical="center" wrapText="1"/>
    </xf>
    <xf numFmtId="44" fontId="27" fillId="0" borderId="4" xfId="7" applyFont="1" applyFill="1" applyBorder="1" applyAlignment="1">
      <alignment vertical="center" wrapText="1"/>
    </xf>
    <xf numFmtId="168" fontId="27" fillId="0" borderId="4" xfId="4" applyNumberFormat="1" applyFont="1" applyFill="1" applyBorder="1" applyAlignment="1">
      <alignment horizontal="center" vertical="center" wrapText="1"/>
    </xf>
    <xf numFmtId="44" fontId="27" fillId="0" borderId="4" xfId="0" applyNumberFormat="1" applyFont="1" applyBorder="1" applyAlignment="1">
      <alignment horizontal="center" vertical="center" wrapText="1"/>
    </xf>
    <xf numFmtId="44" fontId="27" fillId="0" borderId="5" xfId="7" applyFont="1" applyFill="1" applyBorder="1" applyAlignment="1">
      <alignment horizontal="center" vertical="center" wrapText="1"/>
    </xf>
    <xf numFmtId="44" fontId="27" fillId="0" borderId="5" xfId="7" applyFont="1" applyFill="1" applyBorder="1" applyAlignment="1">
      <alignment vertical="center" wrapText="1"/>
    </xf>
    <xf numFmtId="168" fontId="27" fillId="0" borderId="5" xfId="4" applyNumberFormat="1" applyFont="1" applyFill="1" applyBorder="1" applyAlignment="1">
      <alignment horizontal="center" vertical="center" wrapText="1"/>
    </xf>
    <xf numFmtId="167" fontId="21" fillId="0" borderId="5" xfId="0" applyNumberFormat="1" applyFont="1" applyBorder="1" applyAlignment="1">
      <alignment horizontal="center" vertical="center" wrapText="1"/>
    </xf>
    <xf numFmtId="0" fontId="27" fillId="0" borderId="5" xfId="0" applyFont="1" applyBorder="1" applyAlignment="1">
      <alignment vertical="center" wrapText="1"/>
    </xf>
    <xf numFmtId="2" fontId="27" fillId="0" borderId="5" xfId="0" applyNumberFormat="1" applyFont="1" applyBorder="1" applyAlignment="1">
      <alignment horizontal="center" vertical="center" wrapText="1"/>
    </xf>
    <xf numFmtId="44" fontId="27" fillId="0" borderId="5" xfId="0" applyNumberFormat="1" applyFont="1" applyBorder="1" applyAlignment="1">
      <alignment horizontal="center" vertical="center" wrapText="1"/>
    </xf>
    <xf numFmtId="0" fontId="27" fillId="0" borderId="1" xfId="0" applyFont="1" applyBorder="1" applyAlignment="1">
      <alignment horizontal="left" vertical="center" wrapText="1"/>
    </xf>
    <xf numFmtId="0" fontId="22" fillId="3" borderId="2" xfId="0" applyFont="1" applyFill="1" applyBorder="1" applyAlignment="1">
      <alignment horizontal="center" vertical="center" wrapText="1"/>
    </xf>
    <xf numFmtId="0" fontId="25" fillId="4" borderId="14" xfId="0" applyFont="1" applyFill="1" applyBorder="1" applyAlignment="1">
      <alignment horizontal="center" vertical="center" wrapText="1"/>
    </xf>
    <xf numFmtId="10" fontId="27" fillId="0" borderId="2" xfId="2" applyNumberFormat="1" applyFont="1" applyFill="1" applyBorder="1" applyAlignment="1">
      <alignment horizontal="center" vertical="center" wrapText="1"/>
    </xf>
    <xf numFmtId="0" fontId="22" fillId="4" borderId="14" xfId="0" applyFont="1" applyFill="1" applyBorder="1" applyAlignment="1">
      <alignment horizontal="center" vertical="center" wrapText="1"/>
    </xf>
    <xf numFmtId="10" fontId="27" fillId="0" borderId="7" xfId="2" applyNumberFormat="1" applyFont="1" applyFill="1" applyBorder="1" applyAlignment="1">
      <alignment horizontal="center" vertical="center" wrapText="1"/>
    </xf>
    <xf numFmtId="1" fontId="22" fillId="4" borderId="2" xfId="0" applyNumberFormat="1" applyFont="1" applyFill="1" applyBorder="1" applyAlignment="1">
      <alignment horizontal="center" vertical="center" wrapText="1" shrinkToFit="1"/>
    </xf>
    <xf numFmtId="10" fontId="27" fillId="0" borderId="6" xfId="2" applyNumberFormat="1" applyFont="1" applyFill="1" applyBorder="1" applyAlignment="1">
      <alignment horizontal="center" vertical="center" wrapText="1"/>
    </xf>
    <xf numFmtId="43" fontId="28" fillId="4" borderId="14" xfId="7" applyNumberFormat="1" applyFont="1" applyFill="1" applyBorder="1" applyAlignment="1">
      <alignment vertical="center" wrapText="1"/>
    </xf>
    <xf numFmtId="0" fontId="27" fillId="0" borderId="15" xfId="0" applyFont="1" applyBorder="1" applyAlignment="1">
      <alignment wrapText="1"/>
    </xf>
    <xf numFmtId="0" fontId="21" fillId="0" borderId="0" xfId="0" applyFont="1" applyAlignment="1">
      <alignment vertical="center"/>
    </xf>
    <xf numFmtId="170" fontId="21" fillId="0" borderId="0" xfId="0" applyNumberFormat="1" applyFont="1" applyAlignment="1">
      <alignment vertical="center"/>
    </xf>
    <xf numFmtId="170" fontId="21" fillId="0" borderId="0" xfId="7" applyNumberFormat="1" applyFont="1" applyBorder="1" applyAlignment="1">
      <alignment vertical="center"/>
    </xf>
    <xf numFmtId="44" fontId="26" fillId="0" borderId="0" xfId="0" applyNumberFormat="1" applyFont="1"/>
    <xf numFmtId="0" fontId="29" fillId="0" borderId="0" xfId="0" applyFont="1"/>
    <xf numFmtId="8" fontId="26" fillId="0" borderId="0" xfId="0" applyNumberFormat="1" applyFont="1"/>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2" fillId="3" borderId="1" xfId="0" applyFont="1" applyFill="1" applyBorder="1" applyAlignment="1">
      <alignment horizontal="center" vertical="center" wrapText="1"/>
    </xf>
    <xf numFmtId="14" fontId="22" fillId="0" borderId="1"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1" fillId="0" borderId="1" xfId="0" applyFont="1" applyBorder="1" applyAlignment="1">
      <alignment horizontal="left" vertical="center"/>
    </xf>
    <xf numFmtId="0" fontId="23" fillId="0" borderId="1" xfId="0" applyFont="1" applyBorder="1" applyAlignment="1">
      <alignment horizontal="center" vertical="center" wrapText="1"/>
    </xf>
    <xf numFmtId="0" fontId="22" fillId="0" borderId="1" xfId="0" applyFont="1" applyBorder="1" applyAlignment="1">
      <alignment horizontal="left" vertical="center"/>
    </xf>
    <xf numFmtId="0" fontId="21" fillId="0" borderId="1" xfId="0" applyFont="1" applyBorder="1" applyAlignment="1">
      <alignment horizontal="center" vertical="center" wrapText="1"/>
    </xf>
    <xf numFmtId="170" fontId="22" fillId="0" borderId="1" xfId="0" applyNumberFormat="1" applyFont="1" applyBorder="1" applyAlignment="1">
      <alignment horizontal="center" vertical="center"/>
    </xf>
    <xf numFmtId="0" fontId="23" fillId="0" borderId="1" xfId="0" applyFont="1" applyBorder="1" applyAlignment="1">
      <alignment horizontal="left" vertical="center" wrapText="1"/>
    </xf>
    <xf numFmtId="171" fontId="22" fillId="3" borderId="1" xfId="0" applyNumberFormat="1" applyFont="1" applyFill="1" applyBorder="1" applyAlignment="1">
      <alignment horizontal="center" vertical="center" wrapText="1"/>
    </xf>
  </cellXfs>
  <cellStyles count="1251">
    <cellStyle name="0,0_x000d__x000a_NA_x000d__x000a_" xfId="9" xr:uid="{00000000-0005-0000-0000-000000000000}"/>
    <cellStyle name="Moeda" xfId="7" builtinId="4"/>
    <cellStyle name="Moeda 2" xfId="22" xr:uid="{00000000-0005-0000-0000-000002000000}"/>
    <cellStyle name="Moeda 2 2" xfId="29" xr:uid="{00000000-0005-0000-0000-000003000000}"/>
    <cellStyle name="Moeda 2 2 2" xfId="61" xr:uid="{00000000-0005-0000-0000-000004000000}"/>
    <cellStyle name="Moeda 2 2 2 2" xfId="113" xr:uid="{00000000-0005-0000-0000-000005000000}"/>
    <cellStyle name="Moeda 2 2 2 2 2" xfId="215" xr:uid="{00000000-0005-0000-0000-000006000000}"/>
    <cellStyle name="Moeda 2 2 2 2 2 2" xfId="627" xr:uid="{00000000-0005-0000-0000-000007000000}"/>
    <cellStyle name="Moeda 2 2 2 2 2 2 2" xfId="1243" xr:uid="{00000000-0005-0000-0000-000008000000}"/>
    <cellStyle name="Moeda 2 2 2 2 2 3" xfId="422" xr:uid="{00000000-0005-0000-0000-000009000000}"/>
    <cellStyle name="Moeda 2 2 2 2 2 3 2" xfId="1038" xr:uid="{00000000-0005-0000-0000-00000A000000}"/>
    <cellStyle name="Moeda 2 2 2 2 2 4" xfId="832" xr:uid="{00000000-0005-0000-0000-00000B000000}"/>
    <cellStyle name="Moeda 2 2 2 2 3" xfId="525" xr:uid="{00000000-0005-0000-0000-00000C000000}"/>
    <cellStyle name="Moeda 2 2 2 2 3 2" xfId="1141" xr:uid="{00000000-0005-0000-0000-00000D000000}"/>
    <cellStyle name="Moeda 2 2 2 2 4" xfId="320" xr:uid="{00000000-0005-0000-0000-00000E000000}"/>
    <cellStyle name="Moeda 2 2 2 2 4 2" xfId="936" xr:uid="{00000000-0005-0000-0000-00000F000000}"/>
    <cellStyle name="Moeda 2 2 2 2 5" xfId="730" xr:uid="{00000000-0005-0000-0000-000010000000}"/>
    <cellStyle name="Moeda 2 2 2 3" xfId="164" xr:uid="{00000000-0005-0000-0000-000011000000}"/>
    <cellStyle name="Moeda 2 2 2 3 2" xfId="576" xr:uid="{00000000-0005-0000-0000-000012000000}"/>
    <cellStyle name="Moeda 2 2 2 3 2 2" xfId="1192" xr:uid="{00000000-0005-0000-0000-000013000000}"/>
    <cellStyle name="Moeda 2 2 2 3 3" xfId="371" xr:uid="{00000000-0005-0000-0000-000014000000}"/>
    <cellStyle name="Moeda 2 2 2 3 3 2" xfId="987" xr:uid="{00000000-0005-0000-0000-000015000000}"/>
    <cellStyle name="Moeda 2 2 2 3 4" xfId="781" xr:uid="{00000000-0005-0000-0000-000016000000}"/>
    <cellStyle name="Moeda 2 2 2 4" xfId="474" xr:uid="{00000000-0005-0000-0000-000017000000}"/>
    <cellStyle name="Moeda 2 2 2 4 2" xfId="1090" xr:uid="{00000000-0005-0000-0000-000018000000}"/>
    <cellStyle name="Moeda 2 2 2 5" xfId="269" xr:uid="{00000000-0005-0000-0000-000019000000}"/>
    <cellStyle name="Moeda 2 2 2 5 2" xfId="885" xr:uid="{00000000-0005-0000-0000-00001A000000}"/>
    <cellStyle name="Moeda 2 2 2 6" xfId="679" xr:uid="{00000000-0005-0000-0000-00001B000000}"/>
    <cellStyle name="Moeda 2 2 3" xfId="13" xr:uid="{00000000-0005-0000-0000-00001C000000}"/>
    <cellStyle name="Moeda 2 2 3 2" xfId="47" xr:uid="{00000000-0005-0000-0000-00001D000000}"/>
    <cellStyle name="Moeda 2 2 3 2 2" xfId="100" xr:uid="{00000000-0005-0000-0000-00001E000000}"/>
    <cellStyle name="Moeda 2 2 3 2 2 2" xfId="202" xr:uid="{00000000-0005-0000-0000-00001F000000}"/>
    <cellStyle name="Moeda 2 2 3 2 2 2 2" xfId="614" xr:uid="{00000000-0005-0000-0000-000020000000}"/>
    <cellStyle name="Moeda 2 2 3 2 2 2 2 2" xfId="1230" xr:uid="{00000000-0005-0000-0000-000021000000}"/>
    <cellStyle name="Moeda 2 2 3 2 2 2 3" xfId="409" xr:uid="{00000000-0005-0000-0000-000022000000}"/>
    <cellStyle name="Moeda 2 2 3 2 2 2 3 2" xfId="1025" xr:uid="{00000000-0005-0000-0000-000023000000}"/>
    <cellStyle name="Moeda 2 2 3 2 2 2 4" xfId="819" xr:uid="{00000000-0005-0000-0000-000024000000}"/>
    <cellStyle name="Moeda 2 2 3 2 2 3" xfId="512" xr:uid="{00000000-0005-0000-0000-000025000000}"/>
    <cellStyle name="Moeda 2 2 3 2 2 3 2" xfId="1128" xr:uid="{00000000-0005-0000-0000-000026000000}"/>
    <cellStyle name="Moeda 2 2 3 2 2 4" xfId="307" xr:uid="{00000000-0005-0000-0000-000027000000}"/>
    <cellStyle name="Moeda 2 2 3 2 2 4 2" xfId="923" xr:uid="{00000000-0005-0000-0000-000028000000}"/>
    <cellStyle name="Moeda 2 2 3 2 2 5" xfId="717" xr:uid="{00000000-0005-0000-0000-000029000000}"/>
    <cellStyle name="Moeda 2 2 3 2 3" xfId="151" xr:uid="{00000000-0005-0000-0000-00002A000000}"/>
    <cellStyle name="Moeda 2 2 3 2 3 2" xfId="563" xr:uid="{00000000-0005-0000-0000-00002B000000}"/>
    <cellStyle name="Moeda 2 2 3 2 3 2 2" xfId="1179" xr:uid="{00000000-0005-0000-0000-00002C000000}"/>
    <cellStyle name="Moeda 2 2 3 2 3 3" xfId="358" xr:uid="{00000000-0005-0000-0000-00002D000000}"/>
    <cellStyle name="Moeda 2 2 3 2 3 3 2" xfId="974" xr:uid="{00000000-0005-0000-0000-00002E000000}"/>
    <cellStyle name="Moeda 2 2 3 2 3 4" xfId="768" xr:uid="{00000000-0005-0000-0000-00002F000000}"/>
    <cellStyle name="Moeda 2 2 3 2 4" xfId="461" xr:uid="{00000000-0005-0000-0000-000030000000}"/>
    <cellStyle name="Moeda 2 2 3 2 4 2" xfId="1077" xr:uid="{00000000-0005-0000-0000-000031000000}"/>
    <cellStyle name="Moeda 2 2 3 2 5" xfId="256" xr:uid="{00000000-0005-0000-0000-000032000000}"/>
    <cellStyle name="Moeda 2 2 3 2 5 2" xfId="872" xr:uid="{00000000-0005-0000-0000-000033000000}"/>
    <cellStyle name="Moeda 2 2 3 2 6" xfId="666" xr:uid="{00000000-0005-0000-0000-000034000000}"/>
    <cellStyle name="Moeda 2 2 3 3" xfId="72" xr:uid="{00000000-0005-0000-0000-000035000000}"/>
    <cellStyle name="Moeda 2 2 3 3 2" xfId="175" xr:uid="{00000000-0005-0000-0000-000036000000}"/>
    <cellStyle name="Moeda 2 2 3 3 2 2" xfId="587" xr:uid="{00000000-0005-0000-0000-000037000000}"/>
    <cellStyle name="Moeda 2 2 3 3 2 2 2" xfId="1203" xr:uid="{00000000-0005-0000-0000-000038000000}"/>
    <cellStyle name="Moeda 2 2 3 3 2 3" xfId="382" xr:uid="{00000000-0005-0000-0000-000039000000}"/>
    <cellStyle name="Moeda 2 2 3 3 2 3 2" xfId="998" xr:uid="{00000000-0005-0000-0000-00003A000000}"/>
    <cellStyle name="Moeda 2 2 3 3 2 4" xfId="792" xr:uid="{00000000-0005-0000-0000-00003B000000}"/>
    <cellStyle name="Moeda 2 2 3 3 3" xfId="485" xr:uid="{00000000-0005-0000-0000-00003C000000}"/>
    <cellStyle name="Moeda 2 2 3 3 3 2" xfId="1101" xr:uid="{00000000-0005-0000-0000-00003D000000}"/>
    <cellStyle name="Moeda 2 2 3 3 4" xfId="280" xr:uid="{00000000-0005-0000-0000-00003E000000}"/>
    <cellStyle name="Moeda 2 2 3 3 4 2" xfId="896" xr:uid="{00000000-0005-0000-0000-00003F000000}"/>
    <cellStyle name="Moeda 2 2 3 3 5" xfId="690" xr:uid="{00000000-0005-0000-0000-000040000000}"/>
    <cellStyle name="Moeda 2 2 3 4" xfId="124" xr:uid="{00000000-0005-0000-0000-000041000000}"/>
    <cellStyle name="Moeda 2 2 3 4 2" xfId="536" xr:uid="{00000000-0005-0000-0000-000042000000}"/>
    <cellStyle name="Moeda 2 2 3 4 2 2" xfId="1152" xr:uid="{00000000-0005-0000-0000-000043000000}"/>
    <cellStyle name="Moeda 2 2 3 4 3" xfId="331" xr:uid="{00000000-0005-0000-0000-000044000000}"/>
    <cellStyle name="Moeda 2 2 3 4 3 2" xfId="947" xr:uid="{00000000-0005-0000-0000-000045000000}"/>
    <cellStyle name="Moeda 2 2 3 4 4" xfId="741" xr:uid="{00000000-0005-0000-0000-000046000000}"/>
    <cellStyle name="Moeda 2 2 3 5" xfId="434" xr:uid="{00000000-0005-0000-0000-000047000000}"/>
    <cellStyle name="Moeda 2 2 3 5 2" xfId="1050" xr:uid="{00000000-0005-0000-0000-000048000000}"/>
    <cellStyle name="Moeda 2 2 3 6" xfId="229" xr:uid="{00000000-0005-0000-0000-000049000000}"/>
    <cellStyle name="Moeda 2 2 3 6 2" xfId="845" xr:uid="{00000000-0005-0000-0000-00004A000000}"/>
    <cellStyle name="Moeda 2 2 3 7" xfId="639" xr:uid="{00000000-0005-0000-0000-00004B000000}"/>
    <cellStyle name="Moeda 2 2 4" xfId="85" xr:uid="{00000000-0005-0000-0000-00004C000000}"/>
    <cellStyle name="Moeda 2 2 4 2" xfId="188" xr:uid="{00000000-0005-0000-0000-00004D000000}"/>
    <cellStyle name="Moeda 2 2 4 2 2" xfId="600" xr:uid="{00000000-0005-0000-0000-00004E000000}"/>
    <cellStyle name="Moeda 2 2 4 2 2 2" xfId="1216" xr:uid="{00000000-0005-0000-0000-00004F000000}"/>
    <cellStyle name="Moeda 2 2 4 2 3" xfId="395" xr:uid="{00000000-0005-0000-0000-000050000000}"/>
    <cellStyle name="Moeda 2 2 4 2 3 2" xfId="1011" xr:uid="{00000000-0005-0000-0000-000051000000}"/>
    <cellStyle name="Moeda 2 2 4 2 4" xfId="805" xr:uid="{00000000-0005-0000-0000-000052000000}"/>
    <cellStyle name="Moeda 2 2 4 3" xfId="498" xr:uid="{00000000-0005-0000-0000-000053000000}"/>
    <cellStyle name="Moeda 2 2 4 3 2" xfId="1114" xr:uid="{00000000-0005-0000-0000-000054000000}"/>
    <cellStyle name="Moeda 2 2 4 4" xfId="293" xr:uid="{00000000-0005-0000-0000-000055000000}"/>
    <cellStyle name="Moeda 2 2 4 4 2" xfId="909" xr:uid="{00000000-0005-0000-0000-000056000000}"/>
    <cellStyle name="Moeda 2 2 4 5" xfId="703" xr:uid="{00000000-0005-0000-0000-000057000000}"/>
    <cellStyle name="Moeda 2 2 5" xfId="137" xr:uid="{00000000-0005-0000-0000-000058000000}"/>
    <cellStyle name="Moeda 2 2 5 2" xfId="549" xr:uid="{00000000-0005-0000-0000-000059000000}"/>
    <cellStyle name="Moeda 2 2 5 2 2" xfId="1165" xr:uid="{00000000-0005-0000-0000-00005A000000}"/>
    <cellStyle name="Moeda 2 2 5 3" xfId="344" xr:uid="{00000000-0005-0000-0000-00005B000000}"/>
    <cellStyle name="Moeda 2 2 5 3 2" xfId="960" xr:uid="{00000000-0005-0000-0000-00005C000000}"/>
    <cellStyle name="Moeda 2 2 5 4" xfId="754" xr:uid="{00000000-0005-0000-0000-00005D000000}"/>
    <cellStyle name="Moeda 2 2 6" xfId="447" xr:uid="{00000000-0005-0000-0000-00005E000000}"/>
    <cellStyle name="Moeda 2 2 6 2" xfId="1063" xr:uid="{00000000-0005-0000-0000-00005F000000}"/>
    <cellStyle name="Moeda 2 2 7" xfId="242" xr:uid="{00000000-0005-0000-0000-000060000000}"/>
    <cellStyle name="Moeda 2 2 7 2" xfId="858" xr:uid="{00000000-0005-0000-0000-000061000000}"/>
    <cellStyle name="Moeda 2 2 8" xfId="652" xr:uid="{00000000-0005-0000-0000-000062000000}"/>
    <cellStyle name="Moeda 2 3" xfId="54" xr:uid="{00000000-0005-0000-0000-000063000000}"/>
    <cellStyle name="Moeda 2 3 2" xfId="106" xr:uid="{00000000-0005-0000-0000-000064000000}"/>
    <cellStyle name="Moeda 2 3 2 2" xfId="208" xr:uid="{00000000-0005-0000-0000-000065000000}"/>
    <cellStyle name="Moeda 2 3 2 2 2" xfId="620" xr:uid="{00000000-0005-0000-0000-000066000000}"/>
    <cellStyle name="Moeda 2 3 2 2 2 2" xfId="1236" xr:uid="{00000000-0005-0000-0000-000067000000}"/>
    <cellStyle name="Moeda 2 3 2 2 3" xfId="415" xr:uid="{00000000-0005-0000-0000-000068000000}"/>
    <cellStyle name="Moeda 2 3 2 2 3 2" xfId="1031" xr:uid="{00000000-0005-0000-0000-000069000000}"/>
    <cellStyle name="Moeda 2 3 2 2 4" xfId="825" xr:uid="{00000000-0005-0000-0000-00006A000000}"/>
    <cellStyle name="Moeda 2 3 2 3" xfId="518" xr:uid="{00000000-0005-0000-0000-00006B000000}"/>
    <cellStyle name="Moeda 2 3 2 3 2" xfId="1134" xr:uid="{00000000-0005-0000-0000-00006C000000}"/>
    <cellStyle name="Moeda 2 3 2 4" xfId="313" xr:uid="{00000000-0005-0000-0000-00006D000000}"/>
    <cellStyle name="Moeda 2 3 2 4 2" xfId="929" xr:uid="{00000000-0005-0000-0000-00006E000000}"/>
    <cellStyle name="Moeda 2 3 2 5" xfId="723" xr:uid="{00000000-0005-0000-0000-00006F000000}"/>
    <cellStyle name="Moeda 2 3 3" xfId="157" xr:uid="{00000000-0005-0000-0000-000070000000}"/>
    <cellStyle name="Moeda 2 3 3 2" xfId="569" xr:uid="{00000000-0005-0000-0000-000071000000}"/>
    <cellStyle name="Moeda 2 3 3 2 2" xfId="1185" xr:uid="{00000000-0005-0000-0000-000072000000}"/>
    <cellStyle name="Moeda 2 3 3 3" xfId="364" xr:uid="{00000000-0005-0000-0000-000073000000}"/>
    <cellStyle name="Moeda 2 3 3 3 2" xfId="980" xr:uid="{00000000-0005-0000-0000-000074000000}"/>
    <cellStyle name="Moeda 2 3 3 4" xfId="774" xr:uid="{00000000-0005-0000-0000-000075000000}"/>
    <cellStyle name="Moeda 2 3 4" xfId="467" xr:uid="{00000000-0005-0000-0000-000076000000}"/>
    <cellStyle name="Moeda 2 3 4 2" xfId="1083" xr:uid="{00000000-0005-0000-0000-000077000000}"/>
    <cellStyle name="Moeda 2 3 5" xfId="262" xr:uid="{00000000-0005-0000-0000-000078000000}"/>
    <cellStyle name="Moeda 2 3 5 2" xfId="878" xr:uid="{00000000-0005-0000-0000-000079000000}"/>
    <cellStyle name="Moeda 2 3 6" xfId="672" xr:uid="{00000000-0005-0000-0000-00007A000000}"/>
    <cellStyle name="Moeda 2 4" xfId="78" xr:uid="{00000000-0005-0000-0000-00007B000000}"/>
    <cellStyle name="Moeda 2 4 2" xfId="181" xr:uid="{00000000-0005-0000-0000-00007C000000}"/>
    <cellStyle name="Moeda 2 4 2 2" xfId="593" xr:uid="{00000000-0005-0000-0000-00007D000000}"/>
    <cellStyle name="Moeda 2 4 2 2 2" xfId="1209" xr:uid="{00000000-0005-0000-0000-00007E000000}"/>
    <cellStyle name="Moeda 2 4 2 3" xfId="388" xr:uid="{00000000-0005-0000-0000-00007F000000}"/>
    <cellStyle name="Moeda 2 4 2 3 2" xfId="1004" xr:uid="{00000000-0005-0000-0000-000080000000}"/>
    <cellStyle name="Moeda 2 4 2 4" xfId="798" xr:uid="{00000000-0005-0000-0000-000081000000}"/>
    <cellStyle name="Moeda 2 4 3" xfId="491" xr:uid="{00000000-0005-0000-0000-000082000000}"/>
    <cellStyle name="Moeda 2 4 3 2" xfId="1107" xr:uid="{00000000-0005-0000-0000-000083000000}"/>
    <cellStyle name="Moeda 2 4 4" xfId="286" xr:uid="{00000000-0005-0000-0000-000084000000}"/>
    <cellStyle name="Moeda 2 4 4 2" xfId="902" xr:uid="{00000000-0005-0000-0000-000085000000}"/>
    <cellStyle name="Moeda 2 4 5" xfId="696" xr:uid="{00000000-0005-0000-0000-000086000000}"/>
    <cellStyle name="Moeda 2 5" xfId="130" xr:uid="{00000000-0005-0000-0000-000087000000}"/>
    <cellStyle name="Moeda 2 5 2" xfId="542" xr:uid="{00000000-0005-0000-0000-000088000000}"/>
    <cellStyle name="Moeda 2 5 2 2" xfId="1158" xr:uid="{00000000-0005-0000-0000-000089000000}"/>
    <cellStyle name="Moeda 2 5 3" xfId="337" xr:uid="{00000000-0005-0000-0000-00008A000000}"/>
    <cellStyle name="Moeda 2 5 3 2" xfId="953" xr:uid="{00000000-0005-0000-0000-00008B000000}"/>
    <cellStyle name="Moeda 2 5 4" xfId="747" xr:uid="{00000000-0005-0000-0000-00008C000000}"/>
    <cellStyle name="Moeda 2 6" xfId="440" xr:uid="{00000000-0005-0000-0000-00008D000000}"/>
    <cellStyle name="Moeda 2 6 2" xfId="1056" xr:uid="{00000000-0005-0000-0000-00008E000000}"/>
    <cellStyle name="Moeda 2 7" xfId="235" xr:uid="{00000000-0005-0000-0000-00008F000000}"/>
    <cellStyle name="Moeda 2 7 2" xfId="851" xr:uid="{00000000-0005-0000-0000-000090000000}"/>
    <cellStyle name="Moeda 2 8" xfId="645" xr:uid="{00000000-0005-0000-0000-000091000000}"/>
    <cellStyle name="Moeda 3" xfId="43" xr:uid="{00000000-0005-0000-0000-000092000000}"/>
    <cellStyle name="Moeda 3 2" xfId="96" xr:uid="{00000000-0005-0000-0000-000093000000}"/>
    <cellStyle name="Moeda 3 2 2" xfId="198" xr:uid="{00000000-0005-0000-0000-000094000000}"/>
    <cellStyle name="Moeda 3 2 2 2" xfId="610" xr:uid="{00000000-0005-0000-0000-000095000000}"/>
    <cellStyle name="Moeda 3 2 2 2 2" xfId="1226" xr:uid="{00000000-0005-0000-0000-000096000000}"/>
    <cellStyle name="Moeda 3 2 2 3" xfId="405" xr:uid="{00000000-0005-0000-0000-000097000000}"/>
    <cellStyle name="Moeda 3 2 2 3 2" xfId="1021" xr:uid="{00000000-0005-0000-0000-000098000000}"/>
    <cellStyle name="Moeda 3 2 2 4" xfId="815" xr:uid="{00000000-0005-0000-0000-000099000000}"/>
    <cellStyle name="Moeda 3 2 3" xfId="508" xr:uid="{00000000-0005-0000-0000-00009A000000}"/>
    <cellStyle name="Moeda 3 2 3 2" xfId="1124" xr:uid="{00000000-0005-0000-0000-00009B000000}"/>
    <cellStyle name="Moeda 3 2 4" xfId="303" xr:uid="{00000000-0005-0000-0000-00009C000000}"/>
    <cellStyle name="Moeda 3 2 4 2" xfId="919" xr:uid="{00000000-0005-0000-0000-00009D000000}"/>
    <cellStyle name="Moeda 3 2 5" xfId="713" xr:uid="{00000000-0005-0000-0000-00009E000000}"/>
    <cellStyle name="Moeda 3 3" xfId="147" xr:uid="{00000000-0005-0000-0000-00009F000000}"/>
    <cellStyle name="Moeda 3 3 2" xfId="559" xr:uid="{00000000-0005-0000-0000-0000A0000000}"/>
    <cellStyle name="Moeda 3 3 2 2" xfId="1175" xr:uid="{00000000-0005-0000-0000-0000A1000000}"/>
    <cellStyle name="Moeda 3 3 3" xfId="354" xr:uid="{00000000-0005-0000-0000-0000A2000000}"/>
    <cellStyle name="Moeda 3 3 3 2" xfId="970" xr:uid="{00000000-0005-0000-0000-0000A3000000}"/>
    <cellStyle name="Moeda 3 3 4" xfId="764" xr:uid="{00000000-0005-0000-0000-0000A4000000}"/>
    <cellStyle name="Moeda 3 4" xfId="457" xr:uid="{00000000-0005-0000-0000-0000A5000000}"/>
    <cellStyle name="Moeda 3 4 2" xfId="1073" xr:uid="{00000000-0005-0000-0000-0000A6000000}"/>
    <cellStyle name="Moeda 3 5" xfId="252" xr:uid="{00000000-0005-0000-0000-0000A7000000}"/>
    <cellStyle name="Moeda 3 5 2" xfId="868" xr:uid="{00000000-0005-0000-0000-0000A8000000}"/>
    <cellStyle name="Moeda 3 6" xfId="662" xr:uid="{00000000-0005-0000-0000-0000A9000000}"/>
    <cellStyle name="Moeda 4" xfId="68" xr:uid="{00000000-0005-0000-0000-0000AA000000}"/>
    <cellStyle name="Moeda 4 2" xfId="171" xr:uid="{00000000-0005-0000-0000-0000AB000000}"/>
    <cellStyle name="Moeda 4 2 2" xfId="583" xr:uid="{00000000-0005-0000-0000-0000AC000000}"/>
    <cellStyle name="Moeda 4 2 2 2" xfId="1199" xr:uid="{00000000-0005-0000-0000-0000AD000000}"/>
    <cellStyle name="Moeda 4 2 3" xfId="378" xr:uid="{00000000-0005-0000-0000-0000AE000000}"/>
    <cellStyle name="Moeda 4 2 3 2" xfId="994" xr:uid="{00000000-0005-0000-0000-0000AF000000}"/>
    <cellStyle name="Moeda 4 2 4" xfId="788" xr:uid="{00000000-0005-0000-0000-0000B0000000}"/>
    <cellStyle name="Moeda 4 3" xfId="481" xr:uid="{00000000-0005-0000-0000-0000B1000000}"/>
    <cellStyle name="Moeda 4 3 2" xfId="1097" xr:uid="{00000000-0005-0000-0000-0000B2000000}"/>
    <cellStyle name="Moeda 4 4" xfId="276" xr:uid="{00000000-0005-0000-0000-0000B3000000}"/>
    <cellStyle name="Moeda 4 4 2" xfId="892" xr:uid="{00000000-0005-0000-0000-0000B4000000}"/>
    <cellStyle name="Moeda 4 5" xfId="686" xr:uid="{00000000-0005-0000-0000-0000B5000000}"/>
    <cellStyle name="Moeda 5" xfId="120" xr:uid="{00000000-0005-0000-0000-0000B6000000}"/>
    <cellStyle name="Moeda 5 2" xfId="532" xr:uid="{00000000-0005-0000-0000-0000B7000000}"/>
    <cellStyle name="Moeda 5 2 2" xfId="1148" xr:uid="{00000000-0005-0000-0000-0000B8000000}"/>
    <cellStyle name="Moeda 5 3" xfId="327" xr:uid="{00000000-0005-0000-0000-0000B9000000}"/>
    <cellStyle name="Moeda 5 3 2" xfId="943" xr:uid="{00000000-0005-0000-0000-0000BA000000}"/>
    <cellStyle name="Moeda 5 4" xfId="737" xr:uid="{00000000-0005-0000-0000-0000BB000000}"/>
    <cellStyle name="Moeda 6" xfId="222" xr:uid="{00000000-0005-0000-0000-0000BC000000}"/>
    <cellStyle name="Moeda 6 2" xfId="633" xr:uid="{00000000-0005-0000-0000-0000BD000000}"/>
    <cellStyle name="Moeda 6 2 2" xfId="1249" xr:uid="{00000000-0005-0000-0000-0000BE000000}"/>
    <cellStyle name="Moeda 6 3" xfId="428" xr:uid="{00000000-0005-0000-0000-0000BF000000}"/>
    <cellStyle name="Moeda 6 3 2" xfId="1044" xr:uid="{00000000-0005-0000-0000-0000C0000000}"/>
    <cellStyle name="Moeda 6 4" xfId="838" xr:uid="{00000000-0005-0000-0000-0000C1000000}"/>
    <cellStyle name="Moeda 7" xfId="430" xr:uid="{00000000-0005-0000-0000-0000C2000000}"/>
    <cellStyle name="Moeda 7 2" xfId="1046" xr:uid="{00000000-0005-0000-0000-0000C3000000}"/>
    <cellStyle name="Moeda 8" xfId="225" xr:uid="{00000000-0005-0000-0000-0000C4000000}"/>
    <cellStyle name="Moeda 8 2" xfId="841" xr:uid="{00000000-0005-0000-0000-0000C5000000}"/>
    <cellStyle name="Moeda 9" xfId="635" xr:uid="{00000000-0005-0000-0000-0000C6000000}"/>
    <cellStyle name="Normal" xfId="0" builtinId="0"/>
    <cellStyle name="Normal 13" xfId="8" xr:uid="{00000000-0005-0000-0000-0000C8000000}"/>
    <cellStyle name="Normal 2" xfId="1" xr:uid="{00000000-0005-0000-0000-0000C9000000}"/>
    <cellStyle name="Normal 2 10" xfId="224" xr:uid="{00000000-0005-0000-0000-0000CA000000}"/>
    <cellStyle name="Normal 2 10 2" xfId="840" xr:uid="{00000000-0005-0000-0000-0000CB000000}"/>
    <cellStyle name="Normal 2 11" xfId="634" xr:uid="{00000000-0005-0000-0000-0000CC000000}"/>
    <cellStyle name="Normal 2 2" xfId="15" xr:uid="{00000000-0005-0000-0000-0000CD000000}"/>
    <cellStyle name="Normal 2 3" xfId="20" xr:uid="{00000000-0005-0000-0000-0000CE000000}"/>
    <cellStyle name="Normal 2 3 2" xfId="27" xr:uid="{00000000-0005-0000-0000-0000CF000000}"/>
    <cellStyle name="Normal 2 3 2 2" xfId="59" xr:uid="{00000000-0005-0000-0000-0000D0000000}"/>
    <cellStyle name="Normal 2 3 2 2 2" xfId="111" xr:uid="{00000000-0005-0000-0000-0000D1000000}"/>
    <cellStyle name="Normal 2 3 2 2 2 2" xfId="213" xr:uid="{00000000-0005-0000-0000-0000D2000000}"/>
    <cellStyle name="Normal 2 3 2 2 2 2 2" xfId="625" xr:uid="{00000000-0005-0000-0000-0000D3000000}"/>
    <cellStyle name="Normal 2 3 2 2 2 2 2 2" xfId="1241" xr:uid="{00000000-0005-0000-0000-0000D4000000}"/>
    <cellStyle name="Normal 2 3 2 2 2 2 3" xfId="420" xr:uid="{00000000-0005-0000-0000-0000D5000000}"/>
    <cellStyle name="Normal 2 3 2 2 2 2 3 2" xfId="1036" xr:uid="{00000000-0005-0000-0000-0000D6000000}"/>
    <cellStyle name="Normal 2 3 2 2 2 2 4" xfId="830" xr:uid="{00000000-0005-0000-0000-0000D7000000}"/>
    <cellStyle name="Normal 2 3 2 2 2 3" xfId="523" xr:uid="{00000000-0005-0000-0000-0000D8000000}"/>
    <cellStyle name="Normal 2 3 2 2 2 3 2" xfId="1139" xr:uid="{00000000-0005-0000-0000-0000D9000000}"/>
    <cellStyle name="Normal 2 3 2 2 2 4" xfId="318" xr:uid="{00000000-0005-0000-0000-0000DA000000}"/>
    <cellStyle name="Normal 2 3 2 2 2 4 2" xfId="934" xr:uid="{00000000-0005-0000-0000-0000DB000000}"/>
    <cellStyle name="Normal 2 3 2 2 2 5" xfId="728" xr:uid="{00000000-0005-0000-0000-0000DC000000}"/>
    <cellStyle name="Normal 2 3 2 2 3" xfId="162" xr:uid="{00000000-0005-0000-0000-0000DD000000}"/>
    <cellStyle name="Normal 2 3 2 2 3 2" xfId="574" xr:uid="{00000000-0005-0000-0000-0000DE000000}"/>
    <cellStyle name="Normal 2 3 2 2 3 2 2" xfId="1190" xr:uid="{00000000-0005-0000-0000-0000DF000000}"/>
    <cellStyle name="Normal 2 3 2 2 3 3" xfId="369" xr:uid="{00000000-0005-0000-0000-0000E0000000}"/>
    <cellStyle name="Normal 2 3 2 2 3 3 2" xfId="985" xr:uid="{00000000-0005-0000-0000-0000E1000000}"/>
    <cellStyle name="Normal 2 3 2 2 3 4" xfId="779" xr:uid="{00000000-0005-0000-0000-0000E2000000}"/>
    <cellStyle name="Normal 2 3 2 2 4" xfId="472" xr:uid="{00000000-0005-0000-0000-0000E3000000}"/>
    <cellStyle name="Normal 2 3 2 2 4 2" xfId="1088" xr:uid="{00000000-0005-0000-0000-0000E4000000}"/>
    <cellStyle name="Normal 2 3 2 2 5" xfId="267" xr:uid="{00000000-0005-0000-0000-0000E5000000}"/>
    <cellStyle name="Normal 2 3 2 2 5 2" xfId="883" xr:uid="{00000000-0005-0000-0000-0000E6000000}"/>
    <cellStyle name="Normal 2 3 2 2 6" xfId="677" xr:uid="{00000000-0005-0000-0000-0000E7000000}"/>
    <cellStyle name="Normal 2 3 2 3" xfId="83" xr:uid="{00000000-0005-0000-0000-0000E8000000}"/>
    <cellStyle name="Normal 2 3 2 3 2" xfId="186" xr:uid="{00000000-0005-0000-0000-0000E9000000}"/>
    <cellStyle name="Normal 2 3 2 3 2 2" xfId="598" xr:uid="{00000000-0005-0000-0000-0000EA000000}"/>
    <cellStyle name="Normal 2 3 2 3 2 2 2" xfId="1214" xr:uid="{00000000-0005-0000-0000-0000EB000000}"/>
    <cellStyle name="Normal 2 3 2 3 2 3" xfId="393" xr:uid="{00000000-0005-0000-0000-0000EC000000}"/>
    <cellStyle name="Normal 2 3 2 3 2 3 2" xfId="1009" xr:uid="{00000000-0005-0000-0000-0000ED000000}"/>
    <cellStyle name="Normal 2 3 2 3 2 4" xfId="803" xr:uid="{00000000-0005-0000-0000-0000EE000000}"/>
    <cellStyle name="Normal 2 3 2 3 3" xfId="496" xr:uid="{00000000-0005-0000-0000-0000EF000000}"/>
    <cellStyle name="Normal 2 3 2 3 3 2" xfId="1112" xr:uid="{00000000-0005-0000-0000-0000F0000000}"/>
    <cellStyle name="Normal 2 3 2 3 4" xfId="291" xr:uid="{00000000-0005-0000-0000-0000F1000000}"/>
    <cellStyle name="Normal 2 3 2 3 4 2" xfId="907" xr:uid="{00000000-0005-0000-0000-0000F2000000}"/>
    <cellStyle name="Normal 2 3 2 3 5" xfId="701" xr:uid="{00000000-0005-0000-0000-0000F3000000}"/>
    <cellStyle name="Normal 2 3 2 4" xfId="135" xr:uid="{00000000-0005-0000-0000-0000F4000000}"/>
    <cellStyle name="Normal 2 3 2 4 2" xfId="547" xr:uid="{00000000-0005-0000-0000-0000F5000000}"/>
    <cellStyle name="Normal 2 3 2 4 2 2" xfId="1163" xr:uid="{00000000-0005-0000-0000-0000F6000000}"/>
    <cellStyle name="Normal 2 3 2 4 3" xfId="342" xr:uid="{00000000-0005-0000-0000-0000F7000000}"/>
    <cellStyle name="Normal 2 3 2 4 3 2" xfId="958" xr:uid="{00000000-0005-0000-0000-0000F8000000}"/>
    <cellStyle name="Normal 2 3 2 4 4" xfId="752" xr:uid="{00000000-0005-0000-0000-0000F9000000}"/>
    <cellStyle name="Normal 2 3 2 5" xfId="445" xr:uid="{00000000-0005-0000-0000-0000FA000000}"/>
    <cellStyle name="Normal 2 3 2 5 2" xfId="1061" xr:uid="{00000000-0005-0000-0000-0000FB000000}"/>
    <cellStyle name="Normal 2 3 2 6" xfId="240" xr:uid="{00000000-0005-0000-0000-0000FC000000}"/>
    <cellStyle name="Normal 2 3 2 6 2" xfId="856" xr:uid="{00000000-0005-0000-0000-0000FD000000}"/>
    <cellStyle name="Normal 2 3 2 7" xfId="650" xr:uid="{00000000-0005-0000-0000-0000FE000000}"/>
    <cellStyle name="Normal 2 3 3" xfId="52" xr:uid="{00000000-0005-0000-0000-0000FF000000}"/>
    <cellStyle name="Normal 2 3 3 2" xfId="104" xr:uid="{00000000-0005-0000-0000-000000010000}"/>
    <cellStyle name="Normal 2 3 3 2 2" xfId="206" xr:uid="{00000000-0005-0000-0000-000001010000}"/>
    <cellStyle name="Normal 2 3 3 2 2 2" xfId="618" xr:uid="{00000000-0005-0000-0000-000002010000}"/>
    <cellStyle name="Normal 2 3 3 2 2 2 2" xfId="1234" xr:uid="{00000000-0005-0000-0000-000003010000}"/>
    <cellStyle name="Normal 2 3 3 2 2 3" xfId="413" xr:uid="{00000000-0005-0000-0000-000004010000}"/>
    <cellStyle name="Normal 2 3 3 2 2 3 2" xfId="1029" xr:uid="{00000000-0005-0000-0000-000005010000}"/>
    <cellStyle name="Normal 2 3 3 2 2 4" xfId="823" xr:uid="{00000000-0005-0000-0000-000006010000}"/>
    <cellStyle name="Normal 2 3 3 2 3" xfId="516" xr:uid="{00000000-0005-0000-0000-000007010000}"/>
    <cellStyle name="Normal 2 3 3 2 3 2" xfId="1132" xr:uid="{00000000-0005-0000-0000-000008010000}"/>
    <cellStyle name="Normal 2 3 3 2 4" xfId="311" xr:uid="{00000000-0005-0000-0000-000009010000}"/>
    <cellStyle name="Normal 2 3 3 2 4 2" xfId="927" xr:uid="{00000000-0005-0000-0000-00000A010000}"/>
    <cellStyle name="Normal 2 3 3 2 5" xfId="721" xr:uid="{00000000-0005-0000-0000-00000B010000}"/>
    <cellStyle name="Normal 2 3 3 3" xfId="155" xr:uid="{00000000-0005-0000-0000-00000C010000}"/>
    <cellStyle name="Normal 2 3 3 3 2" xfId="567" xr:uid="{00000000-0005-0000-0000-00000D010000}"/>
    <cellStyle name="Normal 2 3 3 3 2 2" xfId="1183" xr:uid="{00000000-0005-0000-0000-00000E010000}"/>
    <cellStyle name="Normal 2 3 3 3 3" xfId="362" xr:uid="{00000000-0005-0000-0000-00000F010000}"/>
    <cellStyle name="Normal 2 3 3 3 3 2" xfId="978" xr:uid="{00000000-0005-0000-0000-000010010000}"/>
    <cellStyle name="Normal 2 3 3 3 4" xfId="772" xr:uid="{00000000-0005-0000-0000-000011010000}"/>
    <cellStyle name="Normal 2 3 3 4" xfId="465" xr:uid="{00000000-0005-0000-0000-000012010000}"/>
    <cellStyle name="Normal 2 3 3 4 2" xfId="1081" xr:uid="{00000000-0005-0000-0000-000013010000}"/>
    <cellStyle name="Normal 2 3 3 5" xfId="260" xr:uid="{00000000-0005-0000-0000-000014010000}"/>
    <cellStyle name="Normal 2 3 3 5 2" xfId="876" xr:uid="{00000000-0005-0000-0000-000015010000}"/>
    <cellStyle name="Normal 2 3 3 6" xfId="670" xr:uid="{00000000-0005-0000-0000-000016010000}"/>
    <cellStyle name="Normal 2 3 4" xfId="76" xr:uid="{00000000-0005-0000-0000-000017010000}"/>
    <cellStyle name="Normal 2 3 4 2" xfId="179" xr:uid="{00000000-0005-0000-0000-000018010000}"/>
    <cellStyle name="Normal 2 3 4 2 2" xfId="591" xr:uid="{00000000-0005-0000-0000-000019010000}"/>
    <cellStyle name="Normal 2 3 4 2 2 2" xfId="1207" xr:uid="{00000000-0005-0000-0000-00001A010000}"/>
    <cellStyle name="Normal 2 3 4 2 3" xfId="386" xr:uid="{00000000-0005-0000-0000-00001B010000}"/>
    <cellStyle name="Normal 2 3 4 2 3 2" xfId="1002" xr:uid="{00000000-0005-0000-0000-00001C010000}"/>
    <cellStyle name="Normal 2 3 4 2 4" xfId="796" xr:uid="{00000000-0005-0000-0000-00001D010000}"/>
    <cellStyle name="Normal 2 3 4 3" xfId="489" xr:uid="{00000000-0005-0000-0000-00001E010000}"/>
    <cellStyle name="Normal 2 3 4 3 2" xfId="1105" xr:uid="{00000000-0005-0000-0000-00001F010000}"/>
    <cellStyle name="Normal 2 3 4 4" xfId="284" xr:uid="{00000000-0005-0000-0000-000020010000}"/>
    <cellStyle name="Normal 2 3 4 4 2" xfId="900" xr:uid="{00000000-0005-0000-0000-000021010000}"/>
    <cellStyle name="Normal 2 3 4 5" xfId="694" xr:uid="{00000000-0005-0000-0000-000022010000}"/>
    <cellStyle name="Normal 2 3 5" xfId="128" xr:uid="{00000000-0005-0000-0000-000023010000}"/>
    <cellStyle name="Normal 2 3 5 2" xfId="540" xr:uid="{00000000-0005-0000-0000-000024010000}"/>
    <cellStyle name="Normal 2 3 5 2 2" xfId="1156" xr:uid="{00000000-0005-0000-0000-000025010000}"/>
    <cellStyle name="Normal 2 3 5 3" xfId="335" xr:uid="{00000000-0005-0000-0000-000026010000}"/>
    <cellStyle name="Normal 2 3 5 3 2" xfId="951" xr:uid="{00000000-0005-0000-0000-000027010000}"/>
    <cellStyle name="Normal 2 3 5 4" xfId="745" xr:uid="{00000000-0005-0000-0000-000028010000}"/>
    <cellStyle name="Normal 2 3 6" xfId="438" xr:uid="{00000000-0005-0000-0000-000029010000}"/>
    <cellStyle name="Normal 2 3 6 2" xfId="1054" xr:uid="{00000000-0005-0000-0000-00002A010000}"/>
    <cellStyle name="Normal 2 3 7" xfId="233" xr:uid="{00000000-0005-0000-0000-00002B010000}"/>
    <cellStyle name="Normal 2 3 7 2" xfId="849" xr:uid="{00000000-0005-0000-0000-00002C010000}"/>
    <cellStyle name="Normal 2 3 8" xfId="643" xr:uid="{00000000-0005-0000-0000-00002D010000}"/>
    <cellStyle name="Normal 2 4" xfId="24" xr:uid="{00000000-0005-0000-0000-00002E010000}"/>
    <cellStyle name="Normal 2 4 2" xfId="56" xr:uid="{00000000-0005-0000-0000-00002F010000}"/>
    <cellStyle name="Normal 2 4 2 2" xfId="108" xr:uid="{00000000-0005-0000-0000-000030010000}"/>
    <cellStyle name="Normal 2 4 2 2 2" xfId="210" xr:uid="{00000000-0005-0000-0000-000031010000}"/>
    <cellStyle name="Normal 2 4 2 2 2 2" xfId="622" xr:uid="{00000000-0005-0000-0000-000032010000}"/>
    <cellStyle name="Normal 2 4 2 2 2 2 2" xfId="1238" xr:uid="{00000000-0005-0000-0000-000033010000}"/>
    <cellStyle name="Normal 2 4 2 2 2 3" xfId="417" xr:uid="{00000000-0005-0000-0000-000034010000}"/>
    <cellStyle name="Normal 2 4 2 2 2 3 2" xfId="1033" xr:uid="{00000000-0005-0000-0000-000035010000}"/>
    <cellStyle name="Normal 2 4 2 2 2 4" xfId="827" xr:uid="{00000000-0005-0000-0000-000036010000}"/>
    <cellStyle name="Normal 2 4 2 2 3" xfId="520" xr:uid="{00000000-0005-0000-0000-000037010000}"/>
    <cellStyle name="Normal 2 4 2 2 3 2" xfId="1136" xr:uid="{00000000-0005-0000-0000-000038010000}"/>
    <cellStyle name="Normal 2 4 2 2 4" xfId="315" xr:uid="{00000000-0005-0000-0000-000039010000}"/>
    <cellStyle name="Normal 2 4 2 2 4 2" xfId="931" xr:uid="{00000000-0005-0000-0000-00003A010000}"/>
    <cellStyle name="Normal 2 4 2 2 5" xfId="725" xr:uid="{00000000-0005-0000-0000-00003B010000}"/>
    <cellStyle name="Normal 2 4 2 3" xfId="159" xr:uid="{00000000-0005-0000-0000-00003C010000}"/>
    <cellStyle name="Normal 2 4 2 3 2" xfId="571" xr:uid="{00000000-0005-0000-0000-00003D010000}"/>
    <cellStyle name="Normal 2 4 2 3 2 2" xfId="1187" xr:uid="{00000000-0005-0000-0000-00003E010000}"/>
    <cellStyle name="Normal 2 4 2 3 3" xfId="366" xr:uid="{00000000-0005-0000-0000-00003F010000}"/>
    <cellStyle name="Normal 2 4 2 3 3 2" xfId="982" xr:uid="{00000000-0005-0000-0000-000040010000}"/>
    <cellStyle name="Normal 2 4 2 3 4" xfId="776" xr:uid="{00000000-0005-0000-0000-000041010000}"/>
    <cellStyle name="Normal 2 4 2 4" xfId="469" xr:uid="{00000000-0005-0000-0000-000042010000}"/>
    <cellStyle name="Normal 2 4 2 4 2" xfId="1085" xr:uid="{00000000-0005-0000-0000-000043010000}"/>
    <cellStyle name="Normal 2 4 2 5" xfId="264" xr:uid="{00000000-0005-0000-0000-000044010000}"/>
    <cellStyle name="Normal 2 4 2 5 2" xfId="880" xr:uid="{00000000-0005-0000-0000-000045010000}"/>
    <cellStyle name="Normal 2 4 2 6" xfId="674" xr:uid="{00000000-0005-0000-0000-000046010000}"/>
    <cellStyle name="Normal 2 4 3" xfId="80" xr:uid="{00000000-0005-0000-0000-000047010000}"/>
    <cellStyle name="Normal 2 4 3 2" xfId="183" xr:uid="{00000000-0005-0000-0000-000048010000}"/>
    <cellStyle name="Normal 2 4 3 2 2" xfId="595" xr:uid="{00000000-0005-0000-0000-000049010000}"/>
    <cellStyle name="Normal 2 4 3 2 2 2" xfId="1211" xr:uid="{00000000-0005-0000-0000-00004A010000}"/>
    <cellStyle name="Normal 2 4 3 2 3" xfId="390" xr:uid="{00000000-0005-0000-0000-00004B010000}"/>
    <cellStyle name="Normal 2 4 3 2 3 2" xfId="1006" xr:uid="{00000000-0005-0000-0000-00004C010000}"/>
    <cellStyle name="Normal 2 4 3 2 4" xfId="800" xr:uid="{00000000-0005-0000-0000-00004D010000}"/>
    <cellStyle name="Normal 2 4 3 3" xfId="493" xr:uid="{00000000-0005-0000-0000-00004E010000}"/>
    <cellStyle name="Normal 2 4 3 3 2" xfId="1109" xr:uid="{00000000-0005-0000-0000-00004F010000}"/>
    <cellStyle name="Normal 2 4 3 4" xfId="288" xr:uid="{00000000-0005-0000-0000-000050010000}"/>
    <cellStyle name="Normal 2 4 3 4 2" xfId="904" xr:uid="{00000000-0005-0000-0000-000051010000}"/>
    <cellStyle name="Normal 2 4 3 5" xfId="698" xr:uid="{00000000-0005-0000-0000-000052010000}"/>
    <cellStyle name="Normal 2 4 4" xfId="132" xr:uid="{00000000-0005-0000-0000-000053010000}"/>
    <cellStyle name="Normal 2 4 4 2" xfId="544" xr:uid="{00000000-0005-0000-0000-000054010000}"/>
    <cellStyle name="Normal 2 4 4 2 2" xfId="1160" xr:uid="{00000000-0005-0000-0000-000055010000}"/>
    <cellStyle name="Normal 2 4 4 3" xfId="339" xr:uid="{00000000-0005-0000-0000-000056010000}"/>
    <cellStyle name="Normal 2 4 4 3 2" xfId="955" xr:uid="{00000000-0005-0000-0000-000057010000}"/>
    <cellStyle name="Normal 2 4 4 4" xfId="749" xr:uid="{00000000-0005-0000-0000-000058010000}"/>
    <cellStyle name="Normal 2 4 5" xfId="442" xr:uid="{00000000-0005-0000-0000-000059010000}"/>
    <cellStyle name="Normal 2 4 5 2" xfId="1058" xr:uid="{00000000-0005-0000-0000-00005A010000}"/>
    <cellStyle name="Normal 2 4 6" xfId="237" xr:uid="{00000000-0005-0000-0000-00005B010000}"/>
    <cellStyle name="Normal 2 4 6 2" xfId="853" xr:uid="{00000000-0005-0000-0000-00005C010000}"/>
    <cellStyle name="Normal 2 4 7" xfId="647" xr:uid="{00000000-0005-0000-0000-00005D010000}"/>
    <cellStyle name="Normal 2 5" xfId="16" xr:uid="{00000000-0005-0000-0000-00005E010000}"/>
    <cellStyle name="Normal 2 5 2" xfId="48" xr:uid="{00000000-0005-0000-0000-00005F010000}"/>
    <cellStyle name="Normal 2 5 2 2" xfId="101" xr:uid="{00000000-0005-0000-0000-000060010000}"/>
    <cellStyle name="Normal 2 5 2 2 2" xfId="203" xr:uid="{00000000-0005-0000-0000-000061010000}"/>
    <cellStyle name="Normal 2 5 2 2 2 2" xfId="615" xr:uid="{00000000-0005-0000-0000-000062010000}"/>
    <cellStyle name="Normal 2 5 2 2 2 2 2" xfId="1231" xr:uid="{00000000-0005-0000-0000-000063010000}"/>
    <cellStyle name="Normal 2 5 2 2 2 3" xfId="410" xr:uid="{00000000-0005-0000-0000-000064010000}"/>
    <cellStyle name="Normal 2 5 2 2 2 3 2" xfId="1026" xr:uid="{00000000-0005-0000-0000-000065010000}"/>
    <cellStyle name="Normal 2 5 2 2 2 4" xfId="820" xr:uid="{00000000-0005-0000-0000-000066010000}"/>
    <cellStyle name="Normal 2 5 2 2 3" xfId="513" xr:uid="{00000000-0005-0000-0000-000067010000}"/>
    <cellStyle name="Normal 2 5 2 2 3 2" xfId="1129" xr:uid="{00000000-0005-0000-0000-000068010000}"/>
    <cellStyle name="Normal 2 5 2 2 4" xfId="308" xr:uid="{00000000-0005-0000-0000-000069010000}"/>
    <cellStyle name="Normal 2 5 2 2 4 2" xfId="924" xr:uid="{00000000-0005-0000-0000-00006A010000}"/>
    <cellStyle name="Normal 2 5 2 2 5" xfId="718" xr:uid="{00000000-0005-0000-0000-00006B010000}"/>
    <cellStyle name="Normal 2 5 2 3" xfId="152" xr:uid="{00000000-0005-0000-0000-00006C010000}"/>
    <cellStyle name="Normal 2 5 2 3 2" xfId="564" xr:uid="{00000000-0005-0000-0000-00006D010000}"/>
    <cellStyle name="Normal 2 5 2 3 2 2" xfId="1180" xr:uid="{00000000-0005-0000-0000-00006E010000}"/>
    <cellStyle name="Normal 2 5 2 3 3" xfId="359" xr:uid="{00000000-0005-0000-0000-00006F010000}"/>
    <cellStyle name="Normal 2 5 2 3 3 2" xfId="975" xr:uid="{00000000-0005-0000-0000-000070010000}"/>
    <cellStyle name="Normal 2 5 2 3 4" xfId="769" xr:uid="{00000000-0005-0000-0000-000071010000}"/>
    <cellStyle name="Normal 2 5 2 4" xfId="462" xr:uid="{00000000-0005-0000-0000-000072010000}"/>
    <cellStyle name="Normal 2 5 2 4 2" xfId="1078" xr:uid="{00000000-0005-0000-0000-000073010000}"/>
    <cellStyle name="Normal 2 5 2 5" xfId="257" xr:uid="{00000000-0005-0000-0000-000074010000}"/>
    <cellStyle name="Normal 2 5 2 5 2" xfId="873" xr:uid="{00000000-0005-0000-0000-000075010000}"/>
    <cellStyle name="Normal 2 5 2 6" xfId="667" xr:uid="{00000000-0005-0000-0000-000076010000}"/>
    <cellStyle name="Normal 2 5 3" xfId="73" xr:uid="{00000000-0005-0000-0000-000077010000}"/>
    <cellStyle name="Normal 2 5 3 2" xfId="176" xr:uid="{00000000-0005-0000-0000-000078010000}"/>
    <cellStyle name="Normal 2 5 3 2 2" xfId="588" xr:uid="{00000000-0005-0000-0000-000079010000}"/>
    <cellStyle name="Normal 2 5 3 2 2 2" xfId="1204" xr:uid="{00000000-0005-0000-0000-00007A010000}"/>
    <cellStyle name="Normal 2 5 3 2 3" xfId="383" xr:uid="{00000000-0005-0000-0000-00007B010000}"/>
    <cellStyle name="Normal 2 5 3 2 3 2" xfId="999" xr:uid="{00000000-0005-0000-0000-00007C010000}"/>
    <cellStyle name="Normal 2 5 3 2 4" xfId="793" xr:uid="{00000000-0005-0000-0000-00007D010000}"/>
    <cellStyle name="Normal 2 5 3 3" xfId="486" xr:uid="{00000000-0005-0000-0000-00007E010000}"/>
    <cellStyle name="Normal 2 5 3 3 2" xfId="1102" xr:uid="{00000000-0005-0000-0000-00007F010000}"/>
    <cellStyle name="Normal 2 5 3 4" xfId="281" xr:uid="{00000000-0005-0000-0000-000080010000}"/>
    <cellStyle name="Normal 2 5 3 4 2" xfId="897" xr:uid="{00000000-0005-0000-0000-000081010000}"/>
    <cellStyle name="Normal 2 5 3 5" xfId="691" xr:uid="{00000000-0005-0000-0000-000082010000}"/>
    <cellStyle name="Normal 2 5 4" xfId="125" xr:uid="{00000000-0005-0000-0000-000083010000}"/>
    <cellStyle name="Normal 2 5 4 2" xfId="537" xr:uid="{00000000-0005-0000-0000-000084010000}"/>
    <cellStyle name="Normal 2 5 4 2 2" xfId="1153" xr:uid="{00000000-0005-0000-0000-000085010000}"/>
    <cellStyle name="Normal 2 5 4 3" xfId="332" xr:uid="{00000000-0005-0000-0000-000086010000}"/>
    <cellStyle name="Normal 2 5 4 3 2" xfId="948" xr:uid="{00000000-0005-0000-0000-000087010000}"/>
    <cellStyle name="Normal 2 5 4 4" xfId="742" xr:uid="{00000000-0005-0000-0000-000088010000}"/>
    <cellStyle name="Normal 2 5 5" xfId="435" xr:uid="{00000000-0005-0000-0000-000089010000}"/>
    <cellStyle name="Normal 2 5 5 2" xfId="1051" xr:uid="{00000000-0005-0000-0000-00008A010000}"/>
    <cellStyle name="Normal 2 5 6" xfId="230" xr:uid="{00000000-0005-0000-0000-00008B010000}"/>
    <cellStyle name="Normal 2 5 6 2" xfId="846" xr:uid="{00000000-0005-0000-0000-00008C010000}"/>
    <cellStyle name="Normal 2 5 7" xfId="640" xr:uid="{00000000-0005-0000-0000-00008D010000}"/>
    <cellStyle name="Normal 2 6" xfId="37" xr:uid="{00000000-0005-0000-0000-00008E010000}"/>
    <cellStyle name="Normal 2 6 2" xfId="93" xr:uid="{00000000-0005-0000-0000-00008F010000}"/>
    <cellStyle name="Normal 2 6 2 2" xfId="195" xr:uid="{00000000-0005-0000-0000-000090010000}"/>
    <cellStyle name="Normal 2 6 2 2 2" xfId="607" xr:uid="{00000000-0005-0000-0000-000091010000}"/>
    <cellStyle name="Normal 2 6 2 2 2 2" xfId="1223" xr:uid="{00000000-0005-0000-0000-000092010000}"/>
    <cellStyle name="Normal 2 6 2 2 3" xfId="402" xr:uid="{00000000-0005-0000-0000-000093010000}"/>
    <cellStyle name="Normal 2 6 2 2 3 2" xfId="1018" xr:uid="{00000000-0005-0000-0000-000094010000}"/>
    <cellStyle name="Normal 2 6 2 2 4" xfId="812" xr:uid="{00000000-0005-0000-0000-000095010000}"/>
    <cellStyle name="Normal 2 6 2 3" xfId="505" xr:uid="{00000000-0005-0000-0000-000096010000}"/>
    <cellStyle name="Normal 2 6 2 3 2" xfId="1121" xr:uid="{00000000-0005-0000-0000-000097010000}"/>
    <cellStyle name="Normal 2 6 2 4" xfId="300" xr:uid="{00000000-0005-0000-0000-000098010000}"/>
    <cellStyle name="Normal 2 6 2 4 2" xfId="916" xr:uid="{00000000-0005-0000-0000-000099010000}"/>
    <cellStyle name="Normal 2 6 2 5" xfId="710" xr:uid="{00000000-0005-0000-0000-00009A010000}"/>
    <cellStyle name="Normal 2 6 3" xfId="144" xr:uid="{00000000-0005-0000-0000-00009B010000}"/>
    <cellStyle name="Normal 2 6 3 2" xfId="556" xr:uid="{00000000-0005-0000-0000-00009C010000}"/>
    <cellStyle name="Normal 2 6 3 2 2" xfId="1172" xr:uid="{00000000-0005-0000-0000-00009D010000}"/>
    <cellStyle name="Normal 2 6 3 3" xfId="351" xr:uid="{00000000-0005-0000-0000-00009E010000}"/>
    <cellStyle name="Normal 2 6 3 3 2" xfId="967" xr:uid="{00000000-0005-0000-0000-00009F010000}"/>
    <cellStyle name="Normal 2 6 3 4" xfId="761" xr:uid="{00000000-0005-0000-0000-0000A0010000}"/>
    <cellStyle name="Normal 2 6 4" xfId="454" xr:uid="{00000000-0005-0000-0000-0000A1010000}"/>
    <cellStyle name="Normal 2 6 4 2" xfId="1070" xr:uid="{00000000-0005-0000-0000-0000A2010000}"/>
    <cellStyle name="Normal 2 6 5" xfId="249" xr:uid="{00000000-0005-0000-0000-0000A3010000}"/>
    <cellStyle name="Normal 2 6 5 2" xfId="865" xr:uid="{00000000-0005-0000-0000-0000A4010000}"/>
    <cellStyle name="Normal 2 6 6" xfId="659" xr:uid="{00000000-0005-0000-0000-0000A5010000}"/>
    <cellStyle name="Normal 2 7" xfId="67" xr:uid="{00000000-0005-0000-0000-0000A6010000}"/>
    <cellStyle name="Normal 2 7 2" xfId="170" xr:uid="{00000000-0005-0000-0000-0000A7010000}"/>
    <cellStyle name="Normal 2 7 2 2" xfId="582" xr:uid="{00000000-0005-0000-0000-0000A8010000}"/>
    <cellStyle name="Normal 2 7 2 2 2" xfId="1198" xr:uid="{00000000-0005-0000-0000-0000A9010000}"/>
    <cellStyle name="Normal 2 7 2 3" xfId="377" xr:uid="{00000000-0005-0000-0000-0000AA010000}"/>
    <cellStyle name="Normal 2 7 2 3 2" xfId="993" xr:uid="{00000000-0005-0000-0000-0000AB010000}"/>
    <cellStyle name="Normal 2 7 2 4" xfId="787" xr:uid="{00000000-0005-0000-0000-0000AC010000}"/>
    <cellStyle name="Normal 2 7 3" xfId="480" xr:uid="{00000000-0005-0000-0000-0000AD010000}"/>
    <cellStyle name="Normal 2 7 3 2" xfId="1096" xr:uid="{00000000-0005-0000-0000-0000AE010000}"/>
    <cellStyle name="Normal 2 7 4" xfId="275" xr:uid="{00000000-0005-0000-0000-0000AF010000}"/>
    <cellStyle name="Normal 2 7 4 2" xfId="891" xr:uid="{00000000-0005-0000-0000-0000B0010000}"/>
    <cellStyle name="Normal 2 7 5" xfId="685" xr:uid="{00000000-0005-0000-0000-0000B1010000}"/>
    <cellStyle name="Normal 2 8" xfId="119" xr:uid="{00000000-0005-0000-0000-0000B2010000}"/>
    <cellStyle name="Normal 2 8 2" xfId="531" xr:uid="{00000000-0005-0000-0000-0000B3010000}"/>
    <cellStyle name="Normal 2 8 2 2" xfId="1147" xr:uid="{00000000-0005-0000-0000-0000B4010000}"/>
    <cellStyle name="Normal 2 8 3" xfId="326" xr:uid="{00000000-0005-0000-0000-0000B5010000}"/>
    <cellStyle name="Normal 2 8 3 2" xfId="942" xr:uid="{00000000-0005-0000-0000-0000B6010000}"/>
    <cellStyle name="Normal 2 8 4" xfId="736" xr:uid="{00000000-0005-0000-0000-0000B7010000}"/>
    <cellStyle name="Normal 2 9" xfId="429" xr:uid="{00000000-0005-0000-0000-0000B8010000}"/>
    <cellStyle name="Normal 2 9 2" xfId="1045" xr:uid="{00000000-0005-0000-0000-0000B9010000}"/>
    <cellStyle name="Normal 23" xfId="11" xr:uid="{00000000-0005-0000-0000-0000BA010000}"/>
    <cellStyle name="Normal 23 2" xfId="31" xr:uid="{00000000-0005-0000-0000-0000BB010000}"/>
    <cellStyle name="Normal 23 2 2" xfId="63" xr:uid="{00000000-0005-0000-0000-0000BC010000}"/>
    <cellStyle name="Normal 23 2 2 2" xfId="115" xr:uid="{00000000-0005-0000-0000-0000BD010000}"/>
    <cellStyle name="Normal 23 2 2 2 2" xfId="217" xr:uid="{00000000-0005-0000-0000-0000BE010000}"/>
    <cellStyle name="Normal 23 2 2 2 2 2" xfId="629" xr:uid="{00000000-0005-0000-0000-0000BF010000}"/>
    <cellStyle name="Normal 23 2 2 2 2 2 2" xfId="1245" xr:uid="{00000000-0005-0000-0000-0000C0010000}"/>
    <cellStyle name="Normal 23 2 2 2 2 3" xfId="424" xr:uid="{00000000-0005-0000-0000-0000C1010000}"/>
    <cellStyle name="Normal 23 2 2 2 2 3 2" xfId="1040" xr:uid="{00000000-0005-0000-0000-0000C2010000}"/>
    <cellStyle name="Normal 23 2 2 2 2 4" xfId="834" xr:uid="{00000000-0005-0000-0000-0000C3010000}"/>
    <cellStyle name="Normal 23 2 2 2 3" xfId="527" xr:uid="{00000000-0005-0000-0000-0000C4010000}"/>
    <cellStyle name="Normal 23 2 2 2 3 2" xfId="1143" xr:uid="{00000000-0005-0000-0000-0000C5010000}"/>
    <cellStyle name="Normal 23 2 2 2 4" xfId="322" xr:uid="{00000000-0005-0000-0000-0000C6010000}"/>
    <cellStyle name="Normal 23 2 2 2 4 2" xfId="938" xr:uid="{00000000-0005-0000-0000-0000C7010000}"/>
    <cellStyle name="Normal 23 2 2 2 5" xfId="732" xr:uid="{00000000-0005-0000-0000-0000C8010000}"/>
    <cellStyle name="Normal 23 2 2 3" xfId="166" xr:uid="{00000000-0005-0000-0000-0000C9010000}"/>
    <cellStyle name="Normal 23 2 2 3 2" xfId="578" xr:uid="{00000000-0005-0000-0000-0000CA010000}"/>
    <cellStyle name="Normal 23 2 2 3 2 2" xfId="1194" xr:uid="{00000000-0005-0000-0000-0000CB010000}"/>
    <cellStyle name="Normal 23 2 2 3 3" xfId="373" xr:uid="{00000000-0005-0000-0000-0000CC010000}"/>
    <cellStyle name="Normal 23 2 2 3 3 2" xfId="989" xr:uid="{00000000-0005-0000-0000-0000CD010000}"/>
    <cellStyle name="Normal 23 2 2 3 4" xfId="783" xr:uid="{00000000-0005-0000-0000-0000CE010000}"/>
    <cellStyle name="Normal 23 2 2 4" xfId="476" xr:uid="{00000000-0005-0000-0000-0000CF010000}"/>
    <cellStyle name="Normal 23 2 2 4 2" xfId="1092" xr:uid="{00000000-0005-0000-0000-0000D0010000}"/>
    <cellStyle name="Normal 23 2 2 5" xfId="271" xr:uid="{00000000-0005-0000-0000-0000D1010000}"/>
    <cellStyle name="Normal 23 2 2 5 2" xfId="887" xr:uid="{00000000-0005-0000-0000-0000D2010000}"/>
    <cellStyle name="Normal 23 2 2 6" xfId="681" xr:uid="{00000000-0005-0000-0000-0000D3010000}"/>
    <cellStyle name="Normal 23 2 3" xfId="87" xr:uid="{00000000-0005-0000-0000-0000D4010000}"/>
    <cellStyle name="Normal 23 2 3 2" xfId="190" xr:uid="{00000000-0005-0000-0000-0000D5010000}"/>
    <cellStyle name="Normal 23 2 3 2 2" xfId="602" xr:uid="{00000000-0005-0000-0000-0000D6010000}"/>
    <cellStyle name="Normal 23 2 3 2 2 2" xfId="1218" xr:uid="{00000000-0005-0000-0000-0000D7010000}"/>
    <cellStyle name="Normal 23 2 3 2 3" xfId="397" xr:uid="{00000000-0005-0000-0000-0000D8010000}"/>
    <cellStyle name="Normal 23 2 3 2 3 2" xfId="1013" xr:uid="{00000000-0005-0000-0000-0000D9010000}"/>
    <cellStyle name="Normal 23 2 3 2 4" xfId="807" xr:uid="{00000000-0005-0000-0000-0000DA010000}"/>
    <cellStyle name="Normal 23 2 3 3" xfId="500" xr:uid="{00000000-0005-0000-0000-0000DB010000}"/>
    <cellStyle name="Normal 23 2 3 3 2" xfId="1116" xr:uid="{00000000-0005-0000-0000-0000DC010000}"/>
    <cellStyle name="Normal 23 2 3 4" xfId="295" xr:uid="{00000000-0005-0000-0000-0000DD010000}"/>
    <cellStyle name="Normal 23 2 3 4 2" xfId="911" xr:uid="{00000000-0005-0000-0000-0000DE010000}"/>
    <cellStyle name="Normal 23 2 3 5" xfId="705" xr:uid="{00000000-0005-0000-0000-0000DF010000}"/>
    <cellStyle name="Normal 23 2 4" xfId="139" xr:uid="{00000000-0005-0000-0000-0000E0010000}"/>
    <cellStyle name="Normal 23 2 4 2" xfId="551" xr:uid="{00000000-0005-0000-0000-0000E1010000}"/>
    <cellStyle name="Normal 23 2 4 2 2" xfId="1167" xr:uid="{00000000-0005-0000-0000-0000E2010000}"/>
    <cellStyle name="Normal 23 2 4 3" xfId="346" xr:uid="{00000000-0005-0000-0000-0000E3010000}"/>
    <cellStyle name="Normal 23 2 4 3 2" xfId="962" xr:uid="{00000000-0005-0000-0000-0000E4010000}"/>
    <cellStyle name="Normal 23 2 4 4" xfId="756" xr:uid="{00000000-0005-0000-0000-0000E5010000}"/>
    <cellStyle name="Normal 23 2 5" xfId="449" xr:uid="{00000000-0005-0000-0000-0000E6010000}"/>
    <cellStyle name="Normal 23 2 5 2" xfId="1065" xr:uid="{00000000-0005-0000-0000-0000E7010000}"/>
    <cellStyle name="Normal 23 2 6" xfId="244" xr:uid="{00000000-0005-0000-0000-0000E8010000}"/>
    <cellStyle name="Normal 23 2 6 2" xfId="860" xr:uid="{00000000-0005-0000-0000-0000E9010000}"/>
    <cellStyle name="Normal 23 2 7" xfId="654" xr:uid="{00000000-0005-0000-0000-0000EA010000}"/>
    <cellStyle name="Normal 23 3" xfId="45" xr:uid="{00000000-0005-0000-0000-0000EB010000}"/>
    <cellStyle name="Normal 23 3 2" xfId="98" xr:uid="{00000000-0005-0000-0000-0000EC010000}"/>
    <cellStyle name="Normal 23 3 2 2" xfId="200" xr:uid="{00000000-0005-0000-0000-0000ED010000}"/>
    <cellStyle name="Normal 23 3 2 2 2" xfId="612" xr:uid="{00000000-0005-0000-0000-0000EE010000}"/>
    <cellStyle name="Normal 23 3 2 2 2 2" xfId="1228" xr:uid="{00000000-0005-0000-0000-0000EF010000}"/>
    <cellStyle name="Normal 23 3 2 2 3" xfId="407" xr:uid="{00000000-0005-0000-0000-0000F0010000}"/>
    <cellStyle name="Normal 23 3 2 2 3 2" xfId="1023" xr:uid="{00000000-0005-0000-0000-0000F1010000}"/>
    <cellStyle name="Normal 23 3 2 2 4" xfId="817" xr:uid="{00000000-0005-0000-0000-0000F2010000}"/>
    <cellStyle name="Normal 23 3 2 3" xfId="510" xr:uid="{00000000-0005-0000-0000-0000F3010000}"/>
    <cellStyle name="Normal 23 3 2 3 2" xfId="1126" xr:uid="{00000000-0005-0000-0000-0000F4010000}"/>
    <cellStyle name="Normal 23 3 2 4" xfId="305" xr:uid="{00000000-0005-0000-0000-0000F5010000}"/>
    <cellStyle name="Normal 23 3 2 4 2" xfId="921" xr:uid="{00000000-0005-0000-0000-0000F6010000}"/>
    <cellStyle name="Normal 23 3 2 5" xfId="715" xr:uid="{00000000-0005-0000-0000-0000F7010000}"/>
    <cellStyle name="Normal 23 3 3" xfId="149" xr:uid="{00000000-0005-0000-0000-0000F8010000}"/>
    <cellStyle name="Normal 23 3 3 2" xfId="561" xr:uid="{00000000-0005-0000-0000-0000F9010000}"/>
    <cellStyle name="Normal 23 3 3 2 2" xfId="1177" xr:uid="{00000000-0005-0000-0000-0000FA010000}"/>
    <cellStyle name="Normal 23 3 3 3" xfId="356" xr:uid="{00000000-0005-0000-0000-0000FB010000}"/>
    <cellStyle name="Normal 23 3 3 3 2" xfId="972" xr:uid="{00000000-0005-0000-0000-0000FC010000}"/>
    <cellStyle name="Normal 23 3 3 4" xfId="766" xr:uid="{00000000-0005-0000-0000-0000FD010000}"/>
    <cellStyle name="Normal 23 3 4" xfId="459" xr:uid="{00000000-0005-0000-0000-0000FE010000}"/>
    <cellStyle name="Normal 23 3 4 2" xfId="1075" xr:uid="{00000000-0005-0000-0000-0000FF010000}"/>
    <cellStyle name="Normal 23 3 5" xfId="254" xr:uid="{00000000-0005-0000-0000-000000020000}"/>
    <cellStyle name="Normal 23 3 5 2" xfId="870" xr:uid="{00000000-0005-0000-0000-000001020000}"/>
    <cellStyle name="Normal 23 3 6" xfId="664" xr:uid="{00000000-0005-0000-0000-000002020000}"/>
    <cellStyle name="Normal 23 4" xfId="70" xr:uid="{00000000-0005-0000-0000-000003020000}"/>
    <cellStyle name="Normal 23 4 2" xfId="173" xr:uid="{00000000-0005-0000-0000-000004020000}"/>
    <cellStyle name="Normal 23 4 2 2" xfId="585" xr:uid="{00000000-0005-0000-0000-000005020000}"/>
    <cellStyle name="Normal 23 4 2 2 2" xfId="1201" xr:uid="{00000000-0005-0000-0000-000006020000}"/>
    <cellStyle name="Normal 23 4 2 3" xfId="380" xr:uid="{00000000-0005-0000-0000-000007020000}"/>
    <cellStyle name="Normal 23 4 2 3 2" xfId="996" xr:uid="{00000000-0005-0000-0000-000008020000}"/>
    <cellStyle name="Normal 23 4 2 4" xfId="790" xr:uid="{00000000-0005-0000-0000-000009020000}"/>
    <cellStyle name="Normal 23 4 3" xfId="483" xr:uid="{00000000-0005-0000-0000-00000A020000}"/>
    <cellStyle name="Normal 23 4 3 2" xfId="1099" xr:uid="{00000000-0005-0000-0000-00000B020000}"/>
    <cellStyle name="Normal 23 4 4" xfId="278" xr:uid="{00000000-0005-0000-0000-00000C020000}"/>
    <cellStyle name="Normal 23 4 4 2" xfId="894" xr:uid="{00000000-0005-0000-0000-00000D020000}"/>
    <cellStyle name="Normal 23 4 5" xfId="688" xr:uid="{00000000-0005-0000-0000-00000E020000}"/>
    <cellStyle name="Normal 23 5" xfId="122" xr:uid="{00000000-0005-0000-0000-00000F020000}"/>
    <cellStyle name="Normal 23 5 2" xfId="534" xr:uid="{00000000-0005-0000-0000-000010020000}"/>
    <cellStyle name="Normal 23 5 2 2" xfId="1150" xr:uid="{00000000-0005-0000-0000-000011020000}"/>
    <cellStyle name="Normal 23 5 3" xfId="329" xr:uid="{00000000-0005-0000-0000-000012020000}"/>
    <cellStyle name="Normal 23 5 3 2" xfId="945" xr:uid="{00000000-0005-0000-0000-000013020000}"/>
    <cellStyle name="Normal 23 5 4" xfId="739" xr:uid="{00000000-0005-0000-0000-000014020000}"/>
    <cellStyle name="Normal 23 6" xfId="432" xr:uid="{00000000-0005-0000-0000-000015020000}"/>
    <cellStyle name="Normal 23 6 2" xfId="1048" xr:uid="{00000000-0005-0000-0000-000016020000}"/>
    <cellStyle name="Normal 23 7" xfId="227" xr:uid="{00000000-0005-0000-0000-000017020000}"/>
    <cellStyle name="Normal 23 7 2" xfId="843" xr:uid="{00000000-0005-0000-0000-000018020000}"/>
    <cellStyle name="Normal 23 8" xfId="637" xr:uid="{00000000-0005-0000-0000-000019020000}"/>
    <cellStyle name="Normal 24" xfId="12" xr:uid="{00000000-0005-0000-0000-00001A020000}"/>
    <cellStyle name="Normal 24 2" xfId="32" xr:uid="{00000000-0005-0000-0000-00001B020000}"/>
    <cellStyle name="Normal 24 2 2" xfId="64" xr:uid="{00000000-0005-0000-0000-00001C020000}"/>
    <cellStyle name="Normal 24 2 2 2" xfId="116" xr:uid="{00000000-0005-0000-0000-00001D020000}"/>
    <cellStyle name="Normal 24 2 2 2 2" xfId="218" xr:uid="{00000000-0005-0000-0000-00001E020000}"/>
    <cellStyle name="Normal 24 2 2 2 2 2" xfId="630" xr:uid="{00000000-0005-0000-0000-00001F020000}"/>
    <cellStyle name="Normal 24 2 2 2 2 2 2" xfId="1246" xr:uid="{00000000-0005-0000-0000-000020020000}"/>
    <cellStyle name="Normal 24 2 2 2 2 3" xfId="425" xr:uid="{00000000-0005-0000-0000-000021020000}"/>
    <cellStyle name="Normal 24 2 2 2 2 3 2" xfId="1041" xr:uid="{00000000-0005-0000-0000-000022020000}"/>
    <cellStyle name="Normal 24 2 2 2 2 4" xfId="835" xr:uid="{00000000-0005-0000-0000-000023020000}"/>
    <cellStyle name="Normal 24 2 2 2 3" xfId="528" xr:uid="{00000000-0005-0000-0000-000024020000}"/>
    <cellStyle name="Normal 24 2 2 2 3 2" xfId="1144" xr:uid="{00000000-0005-0000-0000-000025020000}"/>
    <cellStyle name="Normal 24 2 2 2 4" xfId="323" xr:uid="{00000000-0005-0000-0000-000026020000}"/>
    <cellStyle name="Normal 24 2 2 2 4 2" xfId="939" xr:uid="{00000000-0005-0000-0000-000027020000}"/>
    <cellStyle name="Normal 24 2 2 2 5" xfId="733" xr:uid="{00000000-0005-0000-0000-000028020000}"/>
    <cellStyle name="Normal 24 2 2 3" xfId="167" xr:uid="{00000000-0005-0000-0000-000029020000}"/>
    <cellStyle name="Normal 24 2 2 3 2" xfId="579" xr:uid="{00000000-0005-0000-0000-00002A020000}"/>
    <cellStyle name="Normal 24 2 2 3 2 2" xfId="1195" xr:uid="{00000000-0005-0000-0000-00002B020000}"/>
    <cellStyle name="Normal 24 2 2 3 3" xfId="374" xr:uid="{00000000-0005-0000-0000-00002C020000}"/>
    <cellStyle name="Normal 24 2 2 3 3 2" xfId="990" xr:uid="{00000000-0005-0000-0000-00002D020000}"/>
    <cellStyle name="Normal 24 2 2 3 4" xfId="784" xr:uid="{00000000-0005-0000-0000-00002E020000}"/>
    <cellStyle name="Normal 24 2 2 4" xfId="477" xr:uid="{00000000-0005-0000-0000-00002F020000}"/>
    <cellStyle name="Normal 24 2 2 4 2" xfId="1093" xr:uid="{00000000-0005-0000-0000-000030020000}"/>
    <cellStyle name="Normal 24 2 2 5" xfId="272" xr:uid="{00000000-0005-0000-0000-000031020000}"/>
    <cellStyle name="Normal 24 2 2 5 2" xfId="888" xr:uid="{00000000-0005-0000-0000-000032020000}"/>
    <cellStyle name="Normal 24 2 2 6" xfId="682" xr:uid="{00000000-0005-0000-0000-000033020000}"/>
    <cellStyle name="Normal 24 2 3" xfId="88" xr:uid="{00000000-0005-0000-0000-000034020000}"/>
    <cellStyle name="Normal 24 2 3 2" xfId="191" xr:uid="{00000000-0005-0000-0000-000035020000}"/>
    <cellStyle name="Normal 24 2 3 2 2" xfId="603" xr:uid="{00000000-0005-0000-0000-000036020000}"/>
    <cellStyle name="Normal 24 2 3 2 2 2" xfId="1219" xr:uid="{00000000-0005-0000-0000-000037020000}"/>
    <cellStyle name="Normal 24 2 3 2 3" xfId="398" xr:uid="{00000000-0005-0000-0000-000038020000}"/>
    <cellStyle name="Normal 24 2 3 2 3 2" xfId="1014" xr:uid="{00000000-0005-0000-0000-000039020000}"/>
    <cellStyle name="Normal 24 2 3 2 4" xfId="808" xr:uid="{00000000-0005-0000-0000-00003A020000}"/>
    <cellStyle name="Normal 24 2 3 3" xfId="501" xr:uid="{00000000-0005-0000-0000-00003B020000}"/>
    <cellStyle name="Normal 24 2 3 3 2" xfId="1117" xr:uid="{00000000-0005-0000-0000-00003C020000}"/>
    <cellStyle name="Normal 24 2 3 4" xfId="296" xr:uid="{00000000-0005-0000-0000-00003D020000}"/>
    <cellStyle name="Normal 24 2 3 4 2" xfId="912" xr:uid="{00000000-0005-0000-0000-00003E020000}"/>
    <cellStyle name="Normal 24 2 3 5" xfId="706" xr:uid="{00000000-0005-0000-0000-00003F020000}"/>
    <cellStyle name="Normal 24 2 4" xfId="140" xr:uid="{00000000-0005-0000-0000-000040020000}"/>
    <cellStyle name="Normal 24 2 4 2" xfId="552" xr:uid="{00000000-0005-0000-0000-000041020000}"/>
    <cellStyle name="Normal 24 2 4 2 2" xfId="1168" xr:uid="{00000000-0005-0000-0000-000042020000}"/>
    <cellStyle name="Normal 24 2 4 3" xfId="347" xr:uid="{00000000-0005-0000-0000-000043020000}"/>
    <cellStyle name="Normal 24 2 4 3 2" xfId="963" xr:uid="{00000000-0005-0000-0000-000044020000}"/>
    <cellStyle name="Normal 24 2 4 4" xfId="757" xr:uid="{00000000-0005-0000-0000-000045020000}"/>
    <cellStyle name="Normal 24 2 5" xfId="450" xr:uid="{00000000-0005-0000-0000-000046020000}"/>
    <cellStyle name="Normal 24 2 5 2" xfId="1066" xr:uid="{00000000-0005-0000-0000-000047020000}"/>
    <cellStyle name="Normal 24 2 6" xfId="245" xr:uid="{00000000-0005-0000-0000-000048020000}"/>
    <cellStyle name="Normal 24 2 6 2" xfId="861" xr:uid="{00000000-0005-0000-0000-000049020000}"/>
    <cellStyle name="Normal 24 2 7" xfId="655" xr:uid="{00000000-0005-0000-0000-00004A020000}"/>
    <cellStyle name="Normal 24 3" xfId="33" xr:uid="{00000000-0005-0000-0000-00004B020000}"/>
    <cellStyle name="Normal 24 3 2" xfId="65" xr:uid="{00000000-0005-0000-0000-00004C020000}"/>
    <cellStyle name="Normal 24 3 2 2" xfId="117" xr:uid="{00000000-0005-0000-0000-00004D020000}"/>
    <cellStyle name="Normal 24 3 2 2 2" xfId="219" xr:uid="{00000000-0005-0000-0000-00004E020000}"/>
    <cellStyle name="Normal 24 3 2 2 2 2" xfId="631" xr:uid="{00000000-0005-0000-0000-00004F020000}"/>
    <cellStyle name="Normal 24 3 2 2 2 2 2" xfId="1247" xr:uid="{00000000-0005-0000-0000-000050020000}"/>
    <cellStyle name="Normal 24 3 2 2 2 3" xfId="426" xr:uid="{00000000-0005-0000-0000-000051020000}"/>
    <cellStyle name="Normal 24 3 2 2 2 3 2" xfId="1042" xr:uid="{00000000-0005-0000-0000-000052020000}"/>
    <cellStyle name="Normal 24 3 2 2 2 4" xfId="836" xr:uid="{00000000-0005-0000-0000-000053020000}"/>
    <cellStyle name="Normal 24 3 2 2 3" xfId="529" xr:uid="{00000000-0005-0000-0000-000054020000}"/>
    <cellStyle name="Normal 24 3 2 2 3 2" xfId="1145" xr:uid="{00000000-0005-0000-0000-000055020000}"/>
    <cellStyle name="Normal 24 3 2 2 4" xfId="324" xr:uid="{00000000-0005-0000-0000-000056020000}"/>
    <cellStyle name="Normal 24 3 2 2 4 2" xfId="940" xr:uid="{00000000-0005-0000-0000-000057020000}"/>
    <cellStyle name="Normal 24 3 2 2 5" xfId="734" xr:uid="{00000000-0005-0000-0000-000058020000}"/>
    <cellStyle name="Normal 24 3 2 3" xfId="168" xr:uid="{00000000-0005-0000-0000-000059020000}"/>
    <cellStyle name="Normal 24 3 2 3 2" xfId="580" xr:uid="{00000000-0005-0000-0000-00005A020000}"/>
    <cellStyle name="Normal 24 3 2 3 2 2" xfId="1196" xr:uid="{00000000-0005-0000-0000-00005B020000}"/>
    <cellStyle name="Normal 24 3 2 3 3" xfId="375" xr:uid="{00000000-0005-0000-0000-00005C020000}"/>
    <cellStyle name="Normal 24 3 2 3 3 2" xfId="991" xr:uid="{00000000-0005-0000-0000-00005D020000}"/>
    <cellStyle name="Normal 24 3 2 3 4" xfId="785" xr:uid="{00000000-0005-0000-0000-00005E020000}"/>
    <cellStyle name="Normal 24 3 2 4" xfId="478" xr:uid="{00000000-0005-0000-0000-00005F020000}"/>
    <cellStyle name="Normal 24 3 2 4 2" xfId="1094" xr:uid="{00000000-0005-0000-0000-000060020000}"/>
    <cellStyle name="Normal 24 3 2 5" xfId="273" xr:uid="{00000000-0005-0000-0000-000061020000}"/>
    <cellStyle name="Normal 24 3 2 5 2" xfId="889" xr:uid="{00000000-0005-0000-0000-000062020000}"/>
    <cellStyle name="Normal 24 3 2 6" xfId="683" xr:uid="{00000000-0005-0000-0000-000063020000}"/>
    <cellStyle name="Normal 24 3 3" xfId="89" xr:uid="{00000000-0005-0000-0000-000064020000}"/>
    <cellStyle name="Normal 24 3 3 2" xfId="192" xr:uid="{00000000-0005-0000-0000-000065020000}"/>
    <cellStyle name="Normal 24 3 3 2 2" xfId="604" xr:uid="{00000000-0005-0000-0000-000066020000}"/>
    <cellStyle name="Normal 24 3 3 2 2 2" xfId="1220" xr:uid="{00000000-0005-0000-0000-000067020000}"/>
    <cellStyle name="Normal 24 3 3 2 3" xfId="399" xr:uid="{00000000-0005-0000-0000-000068020000}"/>
    <cellStyle name="Normal 24 3 3 2 3 2" xfId="1015" xr:uid="{00000000-0005-0000-0000-000069020000}"/>
    <cellStyle name="Normal 24 3 3 2 4" xfId="809" xr:uid="{00000000-0005-0000-0000-00006A020000}"/>
    <cellStyle name="Normal 24 3 3 3" xfId="502" xr:uid="{00000000-0005-0000-0000-00006B020000}"/>
    <cellStyle name="Normal 24 3 3 3 2" xfId="1118" xr:uid="{00000000-0005-0000-0000-00006C020000}"/>
    <cellStyle name="Normal 24 3 3 4" xfId="297" xr:uid="{00000000-0005-0000-0000-00006D020000}"/>
    <cellStyle name="Normal 24 3 3 4 2" xfId="913" xr:uid="{00000000-0005-0000-0000-00006E020000}"/>
    <cellStyle name="Normal 24 3 3 5" xfId="707" xr:uid="{00000000-0005-0000-0000-00006F020000}"/>
    <cellStyle name="Normal 24 3 4" xfId="141" xr:uid="{00000000-0005-0000-0000-000070020000}"/>
    <cellStyle name="Normal 24 3 4 2" xfId="553" xr:uid="{00000000-0005-0000-0000-000071020000}"/>
    <cellStyle name="Normal 24 3 4 2 2" xfId="1169" xr:uid="{00000000-0005-0000-0000-000072020000}"/>
    <cellStyle name="Normal 24 3 4 3" xfId="348" xr:uid="{00000000-0005-0000-0000-000073020000}"/>
    <cellStyle name="Normal 24 3 4 3 2" xfId="964" xr:uid="{00000000-0005-0000-0000-000074020000}"/>
    <cellStyle name="Normal 24 3 4 4" xfId="758" xr:uid="{00000000-0005-0000-0000-000075020000}"/>
    <cellStyle name="Normal 24 3 5" xfId="451" xr:uid="{00000000-0005-0000-0000-000076020000}"/>
    <cellStyle name="Normal 24 3 5 2" xfId="1067" xr:uid="{00000000-0005-0000-0000-000077020000}"/>
    <cellStyle name="Normal 24 3 6" xfId="246" xr:uid="{00000000-0005-0000-0000-000078020000}"/>
    <cellStyle name="Normal 24 3 6 2" xfId="862" xr:uid="{00000000-0005-0000-0000-000079020000}"/>
    <cellStyle name="Normal 24 3 7" xfId="656" xr:uid="{00000000-0005-0000-0000-00007A020000}"/>
    <cellStyle name="Normal 24 4" xfId="46" xr:uid="{00000000-0005-0000-0000-00007B020000}"/>
    <cellStyle name="Normal 24 4 2" xfId="99" xr:uid="{00000000-0005-0000-0000-00007C020000}"/>
    <cellStyle name="Normal 24 4 2 2" xfId="201" xr:uid="{00000000-0005-0000-0000-00007D020000}"/>
    <cellStyle name="Normal 24 4 2 2 2" xfId="613" xr:uid="{00000000-0005-0000-0000-00007E020000}"/>
    <cellStyle name="Normal 24 4 2 2 2 2" xfId="1229" xr:uid="{00000000-0005-0000-0000-00007F020000}"/>
    <cellStyle name="Normal 24 4 2 2 3" xfId="408" xr:uid="{00000000-0005-0000-0000-000080020000}"/>
    <cellStyle name="Normal 24 4 2 2 3 2" xfId="1024" xr:uid="{00000000-0005-0000-0000-000081020000}"/>
    <cellStyle name="Normal 24 4 2 2 4" xfId="818" xr:uid="{00000000-0005-0000-0000-000082020000}"/>
    <cellStyle name="Normal 24 4 2 3" xfId="511" xr:uid="{00000000-0005-0000-0000-000083020000}"/>
    <cellStyle name="Normal 24 4 2 3 2" xfId="1127" xr:uid="{00000000-0005-0000-0000-000084020000}"/>
    <cellStyle name="Normal 24 4 2 4" xfId="306" xr:uid="{00000000-0005-0000-0000-000085020000}"/>
    <cellStyle name="Normal 24 4 2 4 2" xfId="922" xr:uid="{00000000-0005-0000-0000-000086020000}"/>
    <cellStyle name="Normal 24 4 2 5" xfId="716" xr:uid="{00000000-0005-0000-0000-000087020000}"/>
    <cellStyle name="Normal 24 4 3" xfId="150" xr:uid="{00000000-0005-0000-0000-000088020000}"/>
    <cellStyle name="Normal 24 4 3 2" xfId="562" xr:uid="{00000000-0005-0000-0000-000089020000}"/>
    <cellStyle name="Normal 24 4 3 2 2" xfId="1178" xr:uid="{00000000-0005-0000-0000-00008A020000}"/>
    <cellStyle name="Normal 24 4 3 3" xfId="357" xr:uid="{00000000-0005-0000-0000-00008B020000}"/>
    <cellStyle name="Normal 24 4 3 3 2" xfId="973" xr:uid="{00000000-0005-0000-0000-00008C020000}"/>
    <cellStyle name="Normal 24 4 3 4" xfId="767" xr:uid="{00000000-0005-0000-0000-00008D020000}"/>
    <cellStyle name="Normal 24 4 4" xfId="460" xr:uid="{00000000-0005-0000-0000-00008E020000}"/>
    <cellStyle name="Normal 24 4 4 2" xfId="1076" xr:uid="{00000000-0005-0000-0000-00008F020000}"/>
    <cellStyle name="Normal 24 4 5" xfId="255" xr:uid="{00000000-0005-0000-0000-000090020000}"/>
    <cellStyle name="Normal 24 4 5 2" xfId="871" xr:uid="{00000000-0005-0000-0000-000091020000}"/>
    <cellStyle name="Normal 24 4 6" xfId="665" xr:uid="{00000000-0005-0000-0000-000092020000}"/>
    <cellStyle name="Normal 24 5" xfId="71" xr:uid="{00000000-0005-0000-0000-000093020000}"/>
    <cellStyle name="Normal 24 5 2" xfId="174" xr:uid="{00000000-0005-0000-0000-000094020000}"/>
    <cellStyle name="Normal 24 5 2 2" xfId="586" xr:uid="{00000000-0005-0000-0000-000095020000}"/>
    <cellStyle name="Normal 24 5 2 2 2" xfId="1202" xr:uid="{00000000-0005-0000-0000-000096020000}"/>
    <cellStyle name="Normal 24 5 2 3" xfId="381" xr:uid="{00000000-0005-0000-0000-000097020000}"/>
    <cellStyle name="Normal 24 5 2 3 2" xfId="997" xr:uid="{00000000-0005-0000-0000-000098020000}"/>
    <cellStyle name="Normal 24 5 2 4" xfId="791" xr:uid="{00000000-0005-0000-0000-000099020000}"/>
    <cellStyle name="Normal 24 5 3" xfId="484" xr:uid="{00000000-0005-0000-0000-00009A020000}"/>
    <cellStyle name="Normal 24 5 3 2" xfId="1100" xr:uid="{00000000-0005-0000-0000-00009B020000}"/>
    <cellStyle name="Normal 24 5 4" xfId="279" xr:uid="{00000000-0005-0000-0000-00009C020000}"/>
    <cellStyle name="Normal 24 5 4 2" xfId="895" xr:uid="{00000000-0005-0000-0000-00009D020000}"/>
    <cellStyle name="Normal 24 5 5" xfId="689" xr:uid="{00000000-0005-0000-0000-00009E020000}"/>
    <cellStyle name="Normal 24 6" xfId="123" xr:uid="{00000000-0005-0000-0000-00009F020000}"/>
    <cellStyle name="Normal 24 6 2" xfId="535" xr:uid="{00000000-0005-0000-0000-0000A0020000}"/>
    <cellStyle name="Normal 24 6 2 2" xfId="1151" xr:uid="{00000000-0005-0000-0000-0000A1020000}"/>
    <cellStyle name="Normal 24 6 3" xfId="330" xr:uid="{00000000-0005-0000-0000-0000A2020000}"/>
    <cellStyle name="Normal 24 6 3 2" xfId="946" xr:uid="{00000000-0005-0000-0000-0000A3020000}"/>
    <cellStyle name="Normal 24 6 4" xfId="740" xr:uid="{00000000-0005-0000-0000-0000A4020000}"/>
    <cellStyle name="Normal 24 7" xfId="223" xr:uid="{00000000-0005-0000-0000-0000A5020000}"/>
    <cellStyle name="Normal 24 7 2" xfId="433" xr:uid="{00000000-0005-0000-0000-0000A6020000}"/>
    <cellStyle name="Normal 24 7 2 2" xfId="1049" xr:uid="{00000000-0005-0000-0000-0000A7020000}"/>
    <cellStyle name="Normal 24 7 3" xfId="839" xr:uid="{00000000-0005-0000-0000-0000A8020000}"/>
    <cellStyle name="Normal 24 8" xfId="228" xr:uid="{00000000-0005-0000-0000-0000A9020000}"/>
    <cellStyle name="Normal 24 8 2" xfId="844" xr:uid="{00000000-0005-0000-0000-0000AA020000}"/>
    <cellStyle name="Normal 24 9" xfId="638" xr:uid="{00000000-0005-0000-0000-0000AB020000}"/>
    <cellStyle name="Normal 3" xfId="17" xr:uid="{00000000-0005-0000-0000-0000AC020000}"/>
    <cellStyle name="Normal 3 2" xfId="21" xr:uid="{00000000-0005-0000-0000-0000AD020000}"/>
    <cellStyle name="Normal 3 2 2" xfId="28" xr:uid="{00000000-0005-0000-0000-0000AE020000}"/>
    <cellStyle name="Normal 3 2 2 2" xfId="60" xr:uid="{00000000-0005-0000-0000-0000AF020000}"/>
    <cellStyle name="Normal 3 2 2 2 2" xfId="112" xr:uid="{00000000-0005-0000-0000-0000B0020000}"/>
    <cellStyle name="Normal 3 2 2 2 2 2" xfId="214" xr:uid="{00000000-0005-0000-0000-0000B1020000}"/>
    <cellStyle name="Normal 3 2 2 2 2 2 2" xfId="626" xr:uid="{00000000-0005-0000-0000-0000B2020000}"/>
    <cellStyle name="Normal 3 2 2 2 2 2 2 2" xfId="1242" xr:uid="{00000000-0005-0000-0000-0000B3020000}"/>
    <cellStyle name="Normal 3 2 2 2 2 2 3" xfId="421" xr:uid="{00000000-0005-0000-0000-0000B4020000}"/>
    <cellStyle name="Normal 3 2 2 2 2 2 3 2" xfId="1037" xr:uid="{00000000-0005-0000-0000-0000B5020000}"/>
    <cellStyle name="Normal 3 2 2 2 2 2 4" xfId="831" xr:uid="{00000000-0005-0000-0000-0000B6020000}"/>
    <cellStyle name="Normal 3 2 2 2 2 3" xfId="524" xr:uid="{00000000-0005-0000-0000-0000B7020000}"/>
    <cellStyle name="Normal 3 2 2 2 2 3 2" xfId="1140" xr:uid="{00000000-0005-0000-0000-0000B8020000}"/>
    <cellStyle name="Normal 3 2 2 2 2 4" xfId="319" xr:uid="{00000000-0005-0000-0000-0000B9020000}"/>
    <cellStyle name="Normal 3 2 2 2 2 4 2" xfId="935" xr:uid="{00000000-0005-0000-0000-0000BA020000}"/>
    <cellStyle name="Normal 3 2 2 2 2 5" xfId="729" xr:uid="{00000000-0005-0000-0000-0000BB020000}"/>
    <cellStyle name="Normal 3 2 2 2 3" xfId="163" xr:uid="{00000000-0005-0000-0000-0000BC020000}"/>
    <cellStyle name="Normal 3 2 2 2 3 2" xfId="575" xr:uid="{00000000-0005-0000-0000-0000BD020000}"/>
    <cellStyle name="Normal 3 2 2 2 3 2 2" xfId="1191" xr:uid="{00000000-0005-0000-0000-0000BE020000}"/>
    <cellStyle name="Normal 3 2 2 2 3 3" xfId="370" xr:uid="{00000000-0005-0000-0000-0000BF020000}"/>
    <cellStyle name="Normal 3 2 2 2 3 3 2" xfId="986" xr:uid="{00000000-0005-0000-0000-0000C0020000}"/>
    <cellStyle name="Normal 3 2 2 2 3 4" xfId="780" xr:uid="{00000000-0005-0000-0000-0000C1020000}"/>
    <cellStyle name="Normal 3 2 2 2 4" xfId="473" xr:uid="{00000000-0005-0000-0000-0000C2020000}"/>
    <cellStyle name="Normal 3 2 2 2 4 2" xfId="1089" xr:uid="{00000000-0005-0000-0000-0000C3020000}"/>
    <cellStyle name="Normal 3 2 2 2 5" xfId="268" xr:uid="{00000000-0005-0000-0000-0000C4020000}"/>
    <cellStyle name="Normal 3 2 2 2 5 2" xfId="884" xr:uid="{00000000-0005-0000-0000-0000C5020000}"/>
    <cellStyle name="Normal 3 2 2 2 6" xfId="678" xr:uid="{00000000-0005-0000-0000-0000C6020000}"/>
    <cellStyle name="Normal 3 2 2 3" xfId="84" xr:uid="{00000000-0005-0000-0000-0000C7020000}"/>
    <cellStyle name="Normal 3 2 2 3 2" xfId="187" xr:uid="{00000000-0005-0000-0000-0000C8020000}"/>
    <cellStyle name="Normal 3 2 2 3 2 2" xfId="599" xr:uid="{00000000-0005-0000-0000-0000C9020000}"/>
    <cellStyle name="Normal 3 2 2 3 2 2 2" xfId="1215" xr:uid="{00000000-0005-0000-0000-0000CA020000}"/>
    <cellStyle name="Normal 3 2 2 3 2 3" xfId="394" xr:uid="{00000000-0005-0000-0000-0000CB020000}"/>
    <cellStyle name="Normal 3 2 2 3 2 3 2" xfId="1010" xr:uid="{00000000-0005-0000-0000-0000CC020000}"/>
    <cellStyle name="Normal 3 2 2 3 2 4" xfId="804" xr:uid="{00000000-0005-0000-0000-0000CD020000}"/>
    <cellStyle name="Normal 3 2 2 3 3" xfId="497" xr:uid="{00000000-0005-0000-0000-0000CE020000}"/>
    <cellStyle name="Normal 3 2 2 3 3 2" xfId="1113" xr:uid="{00000000-0005-0000-0000-0000CF020000}"/>
    <cellStyle name="Normal 3 2 2 3 4" xfId="292" xr:uid="{00000000-0005-0000-0000-0000D0020000}"/>
    <cellStyle name="Normal 3 2 2 3 4 2" xfId="908" xr:uid="{00000000-0005-0000-0000-0000D1020000}"/>
    <cellStyle name="Normal 3 2 2 3 5" xfId="702" xr:uid="{00000000-0005-0000-0000-0000D2020000}"/>
    <cellStyle name="Normal 3 2 2 4" xfId="136" xr:uid="{00000000-0005-0000-0000-0000D3020000}"/>
    <cellStyle name="Normal 3 2 2 4 2" xfId="548" xr:uid="{00000000-0005-0000-0000-0000D4020000}"/>
    <cellStyle name="Normal 3 2 2 4 2 2" xfId="1164" xr:uid="{00000000-0005-0000-0000-0000D5020000}"/>
    <cellStyle name="Normal 3 2 2 4 3" xfId="343" xr:uid="{00000000-0005-0000-0000-0000D6020000}"/>
    <cellStyle name="Normal 3 2 2 4 3 2" xfId="959" xr:uid="{00000000-0005-0000-0000-0000D7020000}"/>
    <cellStyle name="Normal 3 2 2 4 4" xfId="753" xr:uid="{00000000-0005-0000-0000-0000D8020000}"/>
    <cellStyle name="Normal 3 2 2 5" xfId="446" xr:uid="{00000000-0005-0000-0000-0000D9020000}"/>
    <cellStyle name="Normal 3 2 2 5 2" xfId="1062" xr:uid="{00000000-0005-0000-0000-0000DA020000}"/>
    <cellStyle name="Normal 3 2 2 6" xfId="241" xr:uid="{00000000-0005-0000-0000-0000DB020000}"/>
    <cellStyle name="Normal 3 2 2 6 2" xfId="857" xr:uid="{00000000-0005-0000-0000-0000DC020000}"/>
    <cellStyle name="Normal 3 2 2 7" xfId="651" xr:uid="{00000000-0005-0000-0000-0000DD020000}"/>
    <cellStyle name="Normal 3 2 3" xfId="53" xr:uid="{00000000-0005-0000-0000-0000DE020000}"/>
    <cellStyle name="Normal 3 2 3 2" xfId="105" xr:uid="{00000000-0005-0000-0000-0000DF020000}"/>
    <cellStyle name="Normal 3 2 3 2 2" xfId="207" xr:uid="{00000000-0005-0000-0000-0000E0020000}"/>
    <cellStyle name="Normal 3 2 3 2 2 2" xfId="619" xr:uid="{00000000-0005-0000-0000-0000E1020000}"/>
    <cellStyle name="Normal 3 2 3 2 2 2 2" xfId="1235" xr:uid="{00000000-0005-0000-0000-0000E2020000}"/>
    <cellStyle name="Normal 3 2 3 2 2 3" xfId="414" xr:uid="{00000000-0005-0000-0000-0000E3020000}"/>
    <cellStyle name="Normal 3 2 3 2 2 3 2" xfId="1030" xr:uid="{00000000-0005-0000-0000-0000E4020000}"/>
    <cellStyle name="Normal 3 2 3 2 2 4" xfId="824" xr:uid="{00000000-0005-0000-0000-0000E5020000}"/>
    <cellStyle name="Normal 3 2 3 2 3" xfId="517" xr:uid="{00000000-0005-0000-0000-0000E6020000}"/>
    <cellStyle name="Normal 3 2 3 2 3 2" xfId="1133" xr:uid="{00000000-0005-0000-0000-0000E7020000}"/>
    <cellStyle name="Normal 3 2 3 2 4" xfId="312" xr:uid="{00000000-0005-0000-0000-0000E8020000}"/>
    <cellStyle name="Normal 3 2 3 2 4 2" xfId="928" xr:uid="{00000000-0005-0000-0000-0000E9020000}"/>
    <cellStyle name="Normal 3 2 3 2 5" xfId="722" xr:uid="{00000000-0005-0000-0000-0000EA020000}"/>
    <cellStyle name="Normal 3 2 3 3" xfId="156" xr:uid="{00000000-0005-0000-0000-0000EB020000}"/>
    <cellStyle name="Normal 3 2 3 3 2" xfId="568" xr:uid="{00000000-0005-0000-0000-0000EC020000}"/>
    <cellStyle name="Normal 3 2 3 3 2 2" xfId="1184" xr:uid="{00000000-0005-0000-0000-0000ED020000}"/>
    <cellStyle name="Normal 3 2 3 3 3" xfId="363" xr:uid="{00000000-0005-0000-0000-0000EE020000}"/>
    <cellStyle name="Normal 3 2 3 3 3 2" xfId="979" xr:uid="{00000000-0005-0000-0000-0000EF020000}"/>
    <cellStyle name="Normal 3 2 3 3 4" xfId="773" xr:uid="{00000000-0005-0000-0000-0000F0020000}"/>
    <cellStyle name="Normal 3 2 3 4" xfId="466" xr:uid="{00000000-0005-0000-0000-0000F1020000}"/>
    <cellStyle name="Normal 3 2 3 4 2" xfId="1082" xr:uid="{00000000-0005-0000-0000-0000F2020000}"/>
    <cellStyle name="Normal 3 2 3 5" xfId="261" xr:uid="{00000000-0005-0000-0000-0000F3020000}"/>
    <cellStyle name="Normal 3 2 3 5 2" xfId="877" xr:uid="{00000000-0005-0000-0000-0000F4020000}"/>
    <cellStyle name="Normal 3 2 3 6" xfId="671" xr:uid="{00000000-0005-0000-0000-0000F5020000}"/>
    <cellStyle name="Normal 3 2 4" xfId="77" xr:uid="{00000000-0005-0000-0000-0000F6020000}"/>
    <cellStyle name="Normal 3 2 4 2" xfId="180" xr:uid="{00000000-0005-0000-0000-0000F7020000}"/>
    <cellStyle name="Normal 3 2 4 2 2" xfId="592" xr:uid="{00000000-0005-0000-0000-0000F8020000}"/>
    <cellStyle name="Normal 3 2 4 2 2 2" xfId="1208" xr:uid="{00000000-0005-0000-0000-0000F9020000}"/>
    <cellStyle name="Normal 3 2 4 2 3" xfId="387" xr:uid="{00000000-0005-0000-0000-0000FA020000}"/>
    <cellStyle name="Normal 3 2 4 2 3 2" xfId="1003" xr:uid="{00000000-0005-0000-0000-0000FB020000}"/>
    <cellStyle name="Normal 3 2 4 2 4" xfId="797" xr:uid="{00000000-0005-0000-0000-0000FC020000}"/>
    <cellStyle name="Normal 3 2 4 3" xfId="490" xr:uid="{00000000-0005-0000-0000-0000FD020000}"/>
    <cellStyle name="Normal 3 2 4 3 2" xfId="1106" xr:uid="{00000000-0005-0000-0000-0000FE020000}"/>
    <cellStyle name="Normal 3 2 4 4" xfId="285" xr:uid="{00000000-0005-0000-0000-0000FF020000}"/>
    <cellStyle name="Normal 3 2 4 4 2" xfId="901" xr:uid="{00000000-0005-0000-0000-000000030000}"/>
    <cellStyle name="Normal 3 2 4 5" xfId="695" xr:uid="{00000000-0005-0000-0000-000001030000}"/>
    <cellStyle name="Normal 3 2 5" xfId="129" xr:uid="{00000000-0005-0000-0000-000002030000}"/>
    <cellStyle name="Normal 3 2 5 2" xfId="541" xr:uid="{00000000-0005-0000-0000-000003030000}"/>
    <cellStyle name="Normal 3 2 5 2 2" xfId="1157" xr:uid="{00000000-0005-0000-0000-000004030000}"/>
    <cellStyle name="Normal 3 2 5 3" xfId="336" xr:uid="{00000000-0005-0000-0000-000005030000}"/>
    <cellStyle name="Normal 3 2 5 3 2" xfId="952" xr:uid="{00000000-0005-0000-0000-000006030000}"/>
    <cellStyle name="Normal 3 2 5 4" xfId="746" xr:uid="{00000000-0005-0000-0000-000007030000}"/>
    <cellStyle name="Normal 3 2 6" xfId="439" xr:uid="{00000000-0005-0000-0000-000008030000}"/>
    <cellStyle name="Normal 3 2 6 2" xfId="1055" xr:uid="{00000000-0005-0000-0000-000009030000}"/>
    <cellStyle name="Normal 3 2 7" xfId="234" xr:uid="{00000000-0005-0000-0000-00000A030000}"/>
    <cellStyle name="Normal 3 2 7 2" xfId="850" xr:uid="{00000000-0005-0000-0000-00000B030000}"/>
    <cellStyle name="Normal 3 2 8" xfId="644" xr:uid="{00000000-0005-0000-0000-00000C030000}"/>
    <cellStyle name="Normal 3 3" xfId="25" xr:uid="{00000000-0005-0000-0000-00000D030000}"/>
    <cellStyle name="Normal 3 3 2" xfId="57" xr:uid="{00000000-0005-0000-0000-00000E030000}"/>
    <cellStyle name="Normal 3 3 2 2" xfId="109" xr:uid="{00000000-0005-0000-0000-00000F030000}"/>
    <cellStyle name="Normal 3 3 2 2 2" xfId="211" xr:uid="{00000000-0005-0000-0000-000010030000}"/>
    <cellStyle name="Normal 3 3 2 2 2 2" xfId="623" xr:uid="{00000000-0005-0000-0000-000011030000}"/>
    <cellStyle name="Normal 3 3 2 2 2 2 2" xfId="1239" xr:uid="{00000000-0005-0000-0000-000012030000}"/>
    <cellStyle name="Normal 3 3 2 2 2 3" xfId="418" xr:uid="{00000000-0005-0000-0000-000013030000}"/>
    <cellStyle name="Normal 3 3 2 2 2 3 2" xfId="1034" xr:uid="{00000000-0005-0000-0000-000014030000}"/>
    <cellStyle name="Normal 3 3 2 2 2 4" xfId="828" xr:uid="{00000000-0005-0000-0000-000015030000}"/>
    <cellStyle name="Normal 3 3 2 2 3" xfId="521" xr:uid="{00000000-0005-0000-0000-000016030000}"/>
    <cellStyle name="Normal 3 3 2 2 3 2" xfId="1137" xr:uid="{00000000-0005-0000-0000-000017030000}"/>
    <cellStyle name="Normal 3 3 2 2 4" xfId="316" xr:uid="{00000000-0005-0000-0000-000018030000}"/>
    <cellStyle name="Normal 3 3 2 2 4 2" xfId="932" xr:uid="{00000000-0005-0000-0000-000019030000}"/>
    <cellStyle name="Normal 3 3 2 2 5" xfId="726" xr:uid="{00000000-0005-0000-0000-00001A030000}"/>
    <cellStyle name="Normal 3 3 2 3" xfId="160" xr:uid="{00000000-0005-0000-0000-00001B030000}"/>
    <cellStyle name="Normal 3 3 2 3 2" xfId="572" xr:uid="{00000000-0005-0000-0000-00001C030000}"/>
    <cellStyle name="Normal 3 3 2 3 2 2" xfId="1188" xr:uid="{00000000-0005-0000-0000-00001D030000}"/>
    <cellStyle name="Normal 3 3 2 3 3" xfId="367" xr:uid="{00000000-0005-0000-0000-00001E030000}"/>
    <cellStyle name="Normal 3 3 2 3 3 2" xfId="983" xr:uid="{00000000-0005-0000-0000-00001F030000}"/>
    <cellStyle name="Normal 3 3 2 3 4" xfId="777" xr:uid="{00000000-0005-0000-0000-000020030000}"/>
    <cellStyle name="Normal 3 3 2 4" xfId="470" xr:uid="{00000000-0005-0000-0000-000021030000}"/>
    <cellStyle name="Normal 3 3 2 4 2" xfId="1086" xr:uid="{00000000-0005-0000-0000-000022030000}"/>
    <cellStyle name="Normal 3 3 2 5" xfId="265" xr:uid="{00000000-0005-0000-0000-000023030000}"/>
    <cellStyle name="Normal 3 3 2 5 2" xfId="881" xr:uid="{00000000-0005-0000-0000-000024030000}"/>
    <cellStyle name="Normal 3 3 2 6" xfId="675" xr:uid="{00000000-0005-0000-0000-000025030000}"/>
    <cellStyle name="Normal 3 3 3" xfId="81" xr:uid="{00000000-0005-0000-0000-000026030000}"/>
    <cellStyle name="Normal 3 3 3 2" xfId="184" xr:uid="{00000000-0005-0000-0000-000027030000}"/>
    <cellStyle name="Normal 3 3 3 2 2" xfId="596" xr:uid="{00000000-0005-0000-0000-000028030000}"/>
    <cellStyle name="Normal 3 3 3 2 2 2" xfId="1212" xr:uid="{00000000-0005-0000-0000-000029030000}"/>
    <cellStyle name="Normal 3 3 3 2 3" xfId="391" xr:uid="{00000000-0005-0000-0000-00002A030000}"/>
    <cellStyle name="Normal 3 3 3 2 3 2" xfId="1007" xr:uid="{00000000-0005-0000-0000-00002B030000}"/>
    <cellStyle name="Normal 3 3 3 2 4" xfId="801" xr:uid="{00000000-0005-0000-0000-00002C030000}"/>
    <cellStyle name="Normal 3 3 3 3" xfId="494" xr:uid="{00000000-0005-0000-0000-00002D030000}"/>
    <cellStyle name="Normal 3 3 3 3 2" xfId="1110" xr:uid="{00000000-0005-0000-0000-00002E030000}"/>
    <cellStyle name="Normal 3 3 3 4" xfId="289" xr:uid="{00000000-0005-0000-0000-00002F030000}"/>
    <cellStyle name="Normal 3 3 3 4 2" xfId="905" xr:uid="{00000000-0005-0000-0000-000030030000}"/>
    <cellStyle name="Normal 3 3 3 5" xfId="699" xr:uid="{00000000-0005-0000-0000-000031030000}"/>
    <cellStyle name="Normal 3 3 4" xfId="133" xr:uid="{00000000-0005-0000-0000-000032030000}"/>
    <cellStyle name="Normal 3 3 4 2" xfId="545" xr:uid="{00000000-0005-0000-0000-000033030000}"/>
    <cellStyle name="Normal 3 3 4 2 2" xfId="1161" xr:uid="{00000000-0005-0000-0000-000034030000}"/>
    <cellStyle name="Normal 3 3 4 3" xfId="340" xr:uid="{00000000-0005-0000-0000-000035030000}"/>
    <cellStyle name="Normal 3 3 4 3 2" xfId="956" xr:uid="{00000000-0005-0000-0000-000036030000}"/>
    <cellStyle name="Normal 3 3 4 4" xfId="750" xr:uid="{00000000-0005-0000-0000-000037030000}"/>
    <cellStyle name="Normal 3 3 5" xfId="443" xr:uid="{00000000-0005-0000-0000-000038030000}"/>
    <cellStyle name="Normal 3 3 5 2" xfId="1059" xr:uid="{00000000-0005-0000-0000-000039030000}"/>
    <cellStyle name="Normal 3 3 6" xfId="238" xr:uid="{00000000-0005-0000-0000-00003A030000}"/>
    <cellStyle name="Normal 3 3 6 2" xfId="854" xr:uid="{00000000-0005-0000-0000-00003B030000}"/>
    <cellStyle name="Normal 3 3 7" xfId="648" xr:uid="{00000000-0005-0000-0000-00003C030000}"/>
    <cellStyle name="Normal 3 4" xfId="49" xr:uid="{00000000-0005-0000-0000-00003D030000}"/>
    <cellStyle name="Normal 3 4 2" xfId="102" xr:uid="{00000000-0005-0000-0000-00003E030000}"/>
    <cellStyle name="Normal 3 4 2 2" xfId="204" xr:uid="{00000000-0005-0000-0000-00003F030000}"/>
    <cellStyle name="Normal 3 4 2 2 2" xfId="616" xr:uid="{00000000-0005-0000-0000-000040030000}"/>
    <cellStyle name="Normal 3 4 2 2 2 2" xfId="1232" xr:uid="{00000000-0005-0000-0000-000041030000}"/>
    <cellStyle name="Normal 3 4 2 2 3" xfId="411" xr:uid="{00000000-0005-0000-0000-000042030000}"/>
    <cellStyle name="Normal 3 4 2 2 3 2" xfId="1027" xr:uid="{00000000-0005-0000-0000-000043030000}"/>
    <cellStyle name="Normal 3 4 2 2 4" xfId="821" xr:uid="{00000000-0005-0000-0000-000044030000}"/>
    <cellStyle name="Normal 3 4 2 3" xfId="514" xr:uid="{00000000-0005-0000-0000-000045030000}"/>
    <cellStyle name="Normal 3 4 2 3 2" xfId="1130" xr:uid="{00000000-0005-0000-0000-000046030000}"/>
    <cellStyle name="Normal 3 4 2 4" xfId="309" xr:uid="{00000000-0005-0000-0000-000047030000}"/>
    <cellStyle name="Normal 3 4 2 4 2" xfId="925" xr:uid="{00000000-0005-0000-0000-000048030000}"/>
    <cellStyle name="Normal 3 4 2 5" xfId="719" xr:uid="{00000000-0005-0000-0000-000049030000}"/>
    <cellStyle name="Normal 3 4 3" xfId="153" xr:uid="{00000000-0005-0000-0000-00004A030000}"/>
    <cellStyle name="Normal 3 4 3 2" xfId="565" xr:uid="{00000000-0005-0000-0000-00004B030000}"/>
    <cellStyle name="Normal 3 4 3 2 2" xfId="1181" xr:uid="{00000000-0005-0000-0000-00004C030000}"/>
    <cellStyle name="Normal 3 4 3 3" xfId="360" xr:uid="{00000000-0005-0000-0000-00004D030000}"/>
    <cellStyle name="Normal 3 4 3 3 2" xfId="976" xr:uid="{00000000-0005-0000-0000-00004E030000}"/>
    <cellStyle name="Normal 3 4 3 4" xfId="770" xr:uid="{00000000-0005-0000-0000-00004F030000}"/>
    <cellStyle name="Normal 3 4 4" xfId="463" xr:uid="{00000000-0005-0000-0000-000050030000}"/>
    <cellStyle name="Normal 3 4 4 2" xfId="1079" xr:uid="{00000000-0005-0000-0000-000051030000}"/>
    <cellStyle name="Normal 3 4 5" xfId="258" xr:uid="{00000000-0005-0000-0000-000052030000}"/>
    <cellStyle name="Normal 3 4 5 2" xfId="874" xr:uid="{00000000-0005-0000-0000-000053030000}"/>
    <cellStyle name="Normal 3 4 6" xfId="668" xr:uid="{00000000-0005-0000-0000-000054030000}"/>
    <cellStyle name="Normal 3 5" xfId="74" xr:uid="{00000000-0005-0000-0000-000055030000}"/>
    <cellStyle name="Normal 3 5 2" xfId="177" xr:uid="{00000000-0005-0000-0000-000056030000}"/>
    <cellStyle name="Normal 3 5 2 2" xfId="589" xr:uid="{00000000-0005-0000-0000-000057030000}"/>
    <cellStyle name="Normal 3 5 2 2 2" xfId="1205" xr:uid="{00000000-0005-0000-0000-000058030000}"/>
    <cellStyle name="Normal 3 5 2 3" xfId="384" xr:uid="{00000000-0005-0000-0000-000059030000}"/>
    <cellStyle name="Normal 3 5 2 3 2" xfId="1000" xr:uid="{00000000-0005-0000-0000-00005A030000}"/>
    <cellStyle name="Normal 3 5 2 4" xfId="794" xr:uid="{00000000-0005-0000-0000-00005B030000}"/>
    <cellStyle name="Normal 3 5 3" xfId="487" xr:uid="{00000000-0005-0000-0000-00005C030000}"/>
    <cellStyle name="Normal 3 5 3 2" xfId="1103" xr:uid="{00000000-0005-0000-0000-00005D030000}"/>
    <cellStyle name="Normal 3 5 4" xfId="282" xr:uid="{00000000-0005-0000-0000-00005E030000}"/>
    <cellStyle name="Normal 3 5 4 2" xfId="898" xr:uid="{00000000-0005-0000-0000-00005F030000}"/>
    <cellStyle name="Normal 3 5 5" xfId="692" xr:uid="{00000000-0005-0000-0000-000060030000}"/>
    <cellStyle name="Normal 3 6" xfId="126" xr:uid="{00000000-0005-0000-0000-000061030000}"/>
    <cellStyle name="Normal 3 6 2" xfId="538" xr:uid="{00000000-0005-0000-0000-000062030000}"/>
    <cellStyle name="Normal 3 6 2 2" xfId="1154" xr:uid="{00000000-0005-0000-0000-000063030000}"/>
    <cellStyle name="Normal 3 6 3" xfId="333" xr:uid="{00000000-0005-0000-0000-000064030000}"/>
    <cellStyle name="Normal 3 6 3 2" xfId="949" xr:uid="{00000000-0005-0000-0000-000065030000}"/>
    <cellStyle name="Normal 3 6 4" xfId="743" xr:uid="{00000000-0005-0000-0000-000066030000}"/>
    <cellStyle name="Normal 3 7" xfId="436" xr:uid="{00000000-0005-0000-0000-000067030000}"/>
    <cellStyle name="Normal 3 7 2" xfId="1052" xr:uid="{00000000-0005-0000-0000-000068030000}"/>
    <cellStyle name="Normal 3 8" xfId="231" xr:uid="{00000000-0005-0000-0000-000069030000}"/>
    <cellStyle name="Normal 3 8 2" xfId="847" xr:uid="{00000000-0005-0000-0000-00006A030000}"/>
    <cellStyle name="Normal 3 9" xfId="641" xr:uid="{00000000-0005-0000-0000-00006B030000}"/>
    <cellStyle name="Normal 4" xfId="23" xr:uid="{00000000-0005-0000-0000-00006C030000}"/>
    <cellStyle name="Normal 4 2" xfId="30" xr:uid="{00000000-0005-0000-0000-00006D030000}"/>
    <cellStyle name="Normal 4 2 2" xfId="62" xr:uid="{00000000-0005-0000-0000-00006E030000}"/>
    <cellStyle name="Normal 4 2 2 2" xfId="114" xr:uid="{00000000-0005-0000-0000-00006F030000}"/>
    <cellStyle name="Normal 4 2 2 2 2" xfId="216" xr:uid="{00000000-0005-0000-0000-000070030000}"/>
    <cellStyle name="Normal 4 2 2 2 2 2" xfId="628" xr:uid="{00000000-0005-0000-0000-000071030000}"/>
    <cellStyle name="Normal 4 2 2 2 2 2 2" xfId="1244" xr:uid="{00000000-0005-0000-0000-000072030000}"/>
    <cellStyle name="Normal 4 2 2 2 2 3" xfId="423" xr:uid="{00000000-0005-0000-0000-000073030000}"/>
    <cellStyle name="Normal 4 2 2 2 2 3 2" xfId="1039" xr:uid="{00000000-0005-0000-0000-000074030000}"/>
    <cellStyle name="Normal 4 2 2 2 2 4" xfId="833" xr:uid="{00000000-0005-0000-0000-000075030000}"/>
    <cellStyle name="Normal 4 2 2 2 3" xfId="526" xr:uid="{00000000-0005-0000-0000-000076030000}"/>
    <cellStyle name="Normal 4 2 2 2 3 2" xfId="1142" xr:uid="{00000000-0005-0000-0000-000077030000}"/>
    <cellStyle name="Normal 4 2 2 2 4" xfId="321" xr:uid="{00000000-0005-0000-0000-000078030000}"/>
    <cellStyle name="Normal 4 2 2 2 4 2" xfId="937" xr:uid="{00000000-0005-0000-0000-000079030000}"/>
    <cellStyle name="Normal 4 2 2 2 5" xfId="731" xr:uid="{00000000-0005-0000-0000-00007A030000}"/>
    <cellStyle name="Normal 4 2 2 3" xfId="165" xr:uid="{00000000-0005-0000-0000-00007B030000}"/>
    <cellStyle name="Normal 4 2 2 3 2" xfId="577" xr:uid="{00000000-0005-0000-0000-00007C030000}"/>
    <cellStyle name="Normal 4 2 2 3 2 2" xfId="1193" xr:uid="{00000000-0005-0000-0000-00007D030000}"/>
    <cellStyle name="Normal 4 2 2 3 3" xfId="372" xr:uid="{00000000-0005-0000-0000-00007E030000}"/>
    <cellStyle name="Normal 4 2 2 3 3 2" xfId="988" xr:uid="{00000000-0005-0000-0000-00007F030000}"/>
    <cellStyle name="Normal 4 2 2 3 4" xfId="782" xr:uid="{00000000-0005-0000-0000-000080030000}"/>
    <cellStyle name="Normal 4 2 2 4" xfId="475" xr:uid="{00000000-0005-0000-0000-000081030000}"/>
    <cellStyle name="Normal 4 2 2 4 2" xfId="1091" xr:uid="{00000000-0005-0000-0000-000082030000}"/>
    <cellStyle name="Normal 4 2 2 5" xfId="270" xr:uid="{00000000-0005-0000-0000-000083030000}"/>
    <cellStyle name="Normal 4 2 2 5 2" xfId="886" xr:uid="{00000000-0005-0000-0000-000084030000}"/>
    <cellStyle name="Normal 4 2 2 6" xfId="680" xr:uid="{00000000-0005-0000-0000-000085030000}"/>
    <cellStyle name="Normal 4 2 3" xfId="86" xr:uid="{00000000-0005-0000-0000-000086030000}"/>
    <cellStyle name="Normal 4 2 3 2" xfId="189" xr:uid="{00000000-0005-0000-0000-000087030000}"/>
    <cellStyle name="Normal 4 2 3 2 2" xfId="601" xr:uid="{00000000-0005-0000-0000-000088030000}"/>
    <cellStyle name="Normal 4 2 3 2 2 2" xfId="1217" xr:uid="{00000000-0005-0000-0000-000089030000}"/>
    <cellStyle name="Normal 4 2 3 2 3" xfId="396" xr:uid="{00000000-0005-0000-0000-00008A030000}"/>
    <cellStyle name="Normal 4 2 3 2 3 2" xfId="1012" xr:uid="{00000000-0005-0000-0000-00008B030000}"/>
    <cellStyle name="Normal 4 2 3 2 4" xfId="806" xr:uid="{00000000-0005-0000-0000-00008C030000}"/>
    <cellStyle name="Normal 4 2 3 3" xfId="499" xr:uid="{00000000-0005-0000-0000-00008D030000}"/>
    <cellStyle name="Normal 4 2 3 3 2" xfId="1115" xr:uid="{00000000-0005-0000-0000-00008E030000}"/>
    <cellStyle name="Normal 4 2 3 4" xfId="294" xr:uid="{00000000-0005-0000-0000-00008F030000}"/>
    <cellStyle name="Normal 4 2 3 4 2" xfId="910" xr:uid="{00000000-0005-0000-0000-000090030000}"/>
    <cellStyle name="Normal 4 2 3 5" xfId="704" xr:uid="{00000000-0005-0000-0000-000091030000}"/>
    <cellStyle name="Normal 4 2 4" xfId="138" xr:uid="{00000000-0005-0000-0000-000092030000}"/>
    <cellStyle name="Normal 4 2 4 2" xfId="550" xr:uid="{00000000-0005-0000-0000-000093030000}"/>
    <cellStyle name="Normal 4 2 4 2 2" xfId="1166" xr:uid="{00000000-0005-0000-0000-000094030000}"/>
    <cellStyle name="Normal 4 2 4 3" xfId="345" xr:uid="{00000000-0005-0000-0000-000095030000}"/>
    <cellStyle name="Normal 4 2 4 3 2" xfId="961" xr:uid="{00000000-0005-0000-0000-000096030000}"/>
    <cellStyle name="Normal 4 2 4 4" xfId="755" xr:uid="{00000000-0005-0000-0000-000097030000}"/>
    <cellStyle name="Normal 4 2 5" xfId="448" xr:uid="{00000000-0005-0000-0000-000098030000}"/>
    <cellStyle name="Normal 4 2 5 2" xfId="1064" xr:uid="{00000000-0005-0000-0000-000099030000}"/>
    <cellStyle name="Normal 4 2 6" xfId="243" xr:uid="{00000000-0005-0000-0000-00009A030000}"/>
    <cellStyle name="Normal 4 2 6 2" xfId="859" xr:uid="{00000000-0005-0000-0000-00009B030000}"/>
    <cellStyle name="Normal 4 2 7" xfId="653" xr:uid="{00000000-0005-0000-0000-00009C030000}"/>
    <cellStyle name="Normal 4 3" xfId="55" xr:uid="{00000000-0005-0000-0000-00009D030000}"/>
    <cellStyle name="Normal 4 3 2" xfId="107" xr:uid="{00000000-0005-0000-0000-00009E030000}"/>
    <cellStyle name="Normal 4 3 2 2" xfId="209" xr:uid="{00000000-0005-0000-0000-00009F030000}"/>
    <cellStyle name="Normal 4 3 2 2 2" xfId="621" xr:uid="{00000000-0005-0000-0000-0000A0030000}"/>
    <cellStyle name="Normal 4 3 2 2 2 2" xfId="1237" xr:uid="{00000000-0005-0000-0000-0000A1030000}"/>
    <cellStyle name="Normal 4 3 2 2 3" xfId="416" xr:uid="{00000000-0005-0000-0000-0000A2030000}"/>
    <cellStyle name="Normal 4 3 2 2 3 2" xfId="1032" xr:uid="{00000000-0005-0000-0000-0000A3030000}"/>
    <cellStyle name="Normal 4 3 2 2 4" xfId="826" xr:uid="{00000000-0005-0000-0000-0000A4030000}"/>
    <cellStyle name="Normal 4 3 2 3" xfId="519" xr:uid="{00000000-0005-0000-0000-0000A5030000}"/>
    <cellStyle name="Normal 4 3 2 3 2" xfId="1135" xr:uid="{00000000-0005-0000-0000-0000A6030000}"/>
    <cellStyle name="Normal 4 3 2 4" xfId="314" xr:uid="{00000000-0005-0000-0000-0000A7030000}"/>
    <cellStyle name="Normal 4 3 2 4 2" xfId="930" xr:uid="{00000000-0005-0000-0000-0000A8030000}"/>
    <cellStyle name="Normal 4 3 2 5" xfId="724" xr:uid="{00000000-0005-0000-0000-0000A9030000}"/>
    <cellStyle name="Normal 4 3 3" xfId="158" xr:uid="{00000000-0005-0000-0000-0000AA030000}"/>
    <cellStyle name="Normal 4 3 3 2" xfId="570" xr:uid="{00000000-0005-0000-0000-0000AB030000}"/>
    <cellStyle name="Normal 4 3 3 2 2" xfId="1186" xr:uid="{00000000-0005-0000-0000-0000AC030000}"/>
    <cellStyle name="Normal 4 3 3 3" xfId="365" xr:uid="{00000000-0005-0000-0000-0000AD030000}"/>
    <cellStyle name="Normal 4 3 3 3 2" xfId="981" xr:uid="{00000000-0005-0000-0000-0000AE030000}"/>
    <cellStyle name="Normal 4 3 3 4" xfId="775" xr:uid="{00000000-0005-0000-0000-0000AF030000}"/>
    <cellStyle name="Normal 4 3 4" xfId="468" xr:uid="{00000000-0005-0000-0000-0000B0030000}"/>
    <cellStyle name="Normal 4 3 4 2" xfId="1084" xr:uid="{00000000-0005-0000-0000-0000B1030000}"/>
    <cellStyle name="Normal 4 3 5" xfId="263" xr:uid="{00000000-0005-0000-0000-0000B2030000}"/>
    <cellStyle name="Normal 4 3 5 2" xfId="879" xr:uid="{00000000-0005-0000-0000-0000B3030000}"/>
    <cellStyle name="Normal 4 3 6" xfId="673" xr:uid="{00000000-0005-0000-0000-0000B4030000}"/>
    <cellStyle name="Normal 4 4" xfId="79" xr:uid="{00000000-0005-0000-0000-0000B5030000}"/>
    <cellStyle name="Normal 4 4 2" xfId="182" xr:uid="{00000000-0005-0000-0000-0000B6030000}"/>
    <cellStyle name="Normal 4 4 2 2" xfId="594" xr:uid="{00000000-0005-0000-0000-0000B7030000}"/>
    <cellStyle name="Normal 4 4 2 2 2" xfId="1210" xr:uid="{00000000-0005-0000-0000-0000B8030000}"/>
    <cellStyle name="Normal 4 4 2 3" xfId="389" xr:uid="{00000000-0005-0000-0000-0000B9030000}"/>
    <cellStyle name="Normal 4 4 2 3 2" xfId="1005" xr:uid="{00000000-0005-0000-0000-0000BA030000}"/>
    <cellStyle name="Normal 4 4 2 4" xfId="799" xr:uid="{00000000-0005-0000-0000-0000BB030000}"/>
    <cellStyle name="Normal 4 4 3" xfId="492" xr:uid="{00000000-0005-0000-0000-0000BC030000}"/>
    <cellStyle name="Normal 4 4 3 2" xfId="1108" xr:uid="{00000000-0005-0000-0000-0000BD030000}"/>
    <cellStyle name="Normal 4 4 4" xfId="287" xr:uid="{00000000-0005-0000-0000-0000BE030000}"/>
    <cellStyle name="Normal 4 4 4 2" xfId="903" xr:uid="{00000000-0005-0000-0000-0000BF030000}"/>
    <cellStyle name="Normal 4 4 5" xfId="697" xr:uid="{00000000-0005-0000-0000-0000C0030000}"/>
    <cellStyle name="Normal 4 5" xfId="131" xr:uid="{00000000-0005-0000-0000-0000C1030000}"/>
    <cellStyle name="Normal 4 5 2" xfId="543" xr:uid="{00000000-0005-0000-0000-0000C2030000}"/>
    <cellStyle name="Normal 4 5 2 2" xfId="1159" xr:uid="{00000000-0005-0000-0000-0000C3030000}"/>
    <cellStyle name="Normal 4 5 3" xfId="338" xr:uid="{00000000-0005-0000-0000-0000C4030000}"/>
    <cellStyle name="Normal 4 5 3 2" xfId="954" xr:uid="{00000000-0005-0000-0000-0000C5030000}"/>
    <cellStyle name="Normal 4 5 4" xfId="748" xr:uid="{00000000-0005-0000-0000-0000C6030000}"/>
    <cellStyle name="Normal 4 6" xfId="441" xr:uid="{00000000-0005-0000-0000-0000C7030000}"/>
    <cellStyle name="Normal 4 6 2" xfId="1057" xr:uid="{00000000-0005-0000-0000-0000C8030000}"/>
    <cellStyle name="Normal 4 7" xfId="236" xr:uid="{00000000-0005-0000-0000-0000C9030000}"/>
    <cellStyle name="Normal 4 7 2" xfId="852" xr:uid="{00000000-0005-0000-0000-0000CA030000}"/>
    <cellStyle name="Normal 4 8" xfId="646" xr:uid="{00000000-0005-0000-0000-0000CB030000}"/>
    <cellStyle name="Normal 5" xfId="14" xr:uid="{00000000-0005-0000-0000-0000CC030000}"/>
    <cellStyle name="Normal 6" xfId="34" xr:uid="{00000000-0005-0000-0000-0000CD030000}"/>
    <cellStyle name="Normal 6 2" xfId="66" xr:uid="{00000000-0005-0000-0000-0000CE030000}"/>
    <cellStyle name="Normal 6 2 2" xfId="118" xr:uid="{00000000-0005-0000-0000-0000CF030000}"/>
    <cellStyle name="Normal 6 2 2 2" xfId="220" xr:uid="{00000000-0005-0000-0000-0000D0030000}"/>
    <cellStyle name="Normal 6 2 2 2 2" xfId="632" xr:uid="{00000000-0005-0000-0000-0000D1030000}"/>
    <cellStyle name="Normal 6 2 2 2 2 2" xfId="1248" xr:uid="{00000000-0005-0000-0000-0000D2030000}"/>
    <cellStyle name="Normal 6 2 2 2 3" xfId="427" xr:uid="{00000000-0005-0000-0000-0000D3030000}"/>
    <cellStyle name="Normal 6 2 2 2 3 2" xfId="1043" xr:uid="{00000000-0005-0000-0000-0000D4030000}"/>
    <cellStyle name="Normal 6 2 2 2 4" xfId="837" xr:uid="{00000000-0005-0000-0000-0000D5030000}"/>
    <cellStyle name="Normal 6 2 2 3" xfId="530" xr:uid="{00000000-0005-0000-0000-0000D6030000}"/>
    <cellStyle name="Normal 6 2 2 3 2" xfId="1146" xr:uid="{00000000-0005-0000-0000-0000D7030000}"/>
    <cellStyle name="Normal 6 2 2 4" xfId="325" xr:uid="{00000000-0005-0000-0000-0000D8030000}"/>
    <cellStyle name="Normal 6 2 2 4 2" xfId="941" xr:uid="{00000000-0005-0000-0000-0000D9030000}"/>
    <cellStyle name="Normal 6 2 2 5" xfId="735" xr:uid="{00000000-0005-0000-0000-0000DA030000}"/>
    <cellStyle name="Normal 6 2 3" xfId="169" xr:uid="{00000000-0005-0000-0000-0000DB030000}"/>
    <cellStyle name="Normal 6 2 3 2" xfId="581" xr:uid="{00000000-0005-0000-0000-0000DC030000}"/>
    <cellStyle name="Normal 6 2 3 2 2" xfId="1197" xr:uid="{00000000-0005-0000-0000-0000DD030000}"/>
    <cellStyle name="Normal 6 2 3 3" xfId="376" xr:uid="{00000000-0005-0000-0000-0000DE030000}"/>
    <cellStyle name="Normal 6 2 3 3 2" xfId="992" xr:uid="{00000000-0005-0000-0000-0000DF030000}"/>
    <cellStyle name="Normal 6 2 3 4" xfId="786" xr:uid="{00000000-0005-0000-0000-0000E0030000}"/>
    <cellStyle name="Normal 6 2 4" xfId="479" xr:uid="{00000000-0005-0000-0000-0000E1030000}"/>
    <cellStyle name="Normal 6 2 4 2" xfId="1095" xr:uid="{00000000-0005-0000-0000-0000E2030000}"/>
    <cellStyle name="Normal 6 2 5" xfId="274" xr:uid="{00000000-0005-0000-0000-0000E3030000}"/>
    <cellStyle name="Normal 6 2 5 2" xfId="890" xr:uid="{00000000-0005-0000-0000-0000E4030000}"/>
    <cellStyle name="Normal 6 2 6" xfId="684" xr:uid="{00000000-0005-0000-0000-0000E5030000}"/>
    <cellStyle name="Normal 6 3" xfId="90" xr:uid="{00000000-0005-0000-0000-0000E6030000}"/>
    <cellStyle name="Normal 6 3 2" xfId="193" xr:uid="{00000000-0005-0000-0000-0000E7030000}"/>
    <cellStyle name="Normal 6 3 2 2" xfId="605" xr:uid="{00000000-0005-0000-0000-0000E8030000}"/>
    <cellStyle name="Normal 6 3 2 2 2" xfId="1221" xr:uid="{00000000-0005-0000-0000-0000E9030000}"/>
    <cellStyle name="Normal 6 3 2 3" xfId="400" xr:uid="{00000000-0005-0000-0000-0000EA030000}"/>
    <cellStyle name="Normal 6 3 2 3 2" xfId="1016" xr:uid="{00000000-0005-0000-0000-0000EB030000}"/>
    <cellStyle name="Normal 6 3 2 4" xfId="810" xr:uid="{00000000-0005-0000-0000-0000EC030000}"/>
    <cellStyle name="Normal 6 3 3" xfId="503" xr:uid="{00000000-0005-0000-0000-0000ED030000}"/>
    <cellStyle name="Normal 6 3 3 2" xfId="1119" xr:uid="{00000000-0005-0000-0000-0000EE030000}"/>
    <cellStyle name="Normal 6 3 4" xfId="298" xr:uid="{00000000-0005-0000-0000-0000EF030000}"/>
    <cellStyle name="Normal 6 3 4 2" xfId="914" xr:uid="{00000000-0005-0000-0000-0000F0030000}"/>
    <cellStyle name="Normal 6 3 5" xfId="708" xr:uid="{00000000-0005-0000-0000-0000F1030000}"/>
    <cellStyle name="Normal 6 4" xfId="142" xr:uid="{00000000-0005-0000-0000-0000F2030000}"/>
    <cellStyle name="Normal 6 4 2" xfId="554" xr:uid="{00000000-0005-0000-0000-0000F3030000}"/>
    <cellStyle name="Normal 6 4 2 2" xfId="1170" xr:uid="{00000000-0005-0000-0000-0000F4030000}"/>
    <cellStyle name="Normal 6 4 3" xfId="349" xr:uid="{00000000-0005-0000-0000-0000F5030000}"/>
    <cellStyle name="Normal 6 4 3 2" xfId="965" xr:uid="{00000000-0005-0000-0000-0000F6030000}"/>
    <cellStyle name="Normal 6 4 4" xfId="759" xr:uid="{00000000-0005-0000-0000-0000F7030000}"/>
    <cellStyle name="Normal 6 5" xfId="452" xr:uid="{00000000-0005-0000-0000-0000F8030000}"/>
    <cellStyle name="Normal 6 5 2" xfId="1068" xr:uid="{00000000-0005-0000-0000-0000F9030000}"/>
    <cellStyle name="Normal 6 6" xfId="247" xr:uid="{00000000-0005-0000-0000-0000FA030000}"/>
    <cellStyle name="Normal 6 6 2" xfId="863" xr:uid="{00000000-0005-0000-0000-0000FB030000}"/>
    <cellStyle name="Normal 6 7" xfId="657" xr:uid="{00000000-0005-0000-0000-0000FC030000}"/>
    <cellStyle name="Normal 7" xfId="36" xr:uid="{00000000-0005-0000-0000-0000FD030000}"/>
    <cellStyle name="Normal 7 2" xfId="92" xr:uid="{00000000-0005-0000-0000-0000FE030000}"/>
    <cellStyle name="Normal 8" xfId="35" xr:uid="{00000000-0005-0000-0000-0000FF030000}"/>
    <cellStyle name="Normal 8 2" xfId="91" xr:uid="{00000000-0005-0000-0000-000000040000}"/>
    <cellStyle name="Normal 8 2 2" xfId="194" xr:uid="{00000000-0005-0000-0000-000001040000}"/>
    <cellStyle name="Normal 8 2 2 2" xfId="606" xr:uid="{00000000-0005-0000-0000-000002040000}"/>
    <cellStyle name="Normal 8 2 2 2 2" xfId="1222" xr:uid="{00000000-0005-0000-0000-000003040000}"/>
    <cellStyle name="Normal 8 2 2 3" xfId="401" xr:uid="{00000000-0005-0000-0000-000004040000}"/>
    <cellStyle name="Normal 8 2 2 3 2" xfId="1017" xr:uid="{00000000-0005-0000-0000-000005040000}"/>
    <cellStyle name="Normal 8 2 2 4" xfId="811" xr:uid="{00000000-0005-0000-0000-000006040000}"/>
    <cellStyle name="Normal 8 2 3" xfId="504" xr:uid="{00000000-0005-0000-0000-000007040000}"/>
    <cellStyle name="Normal 8 2 3 2" xfId="1120" xr:uid="{00000000-0005-0000-0000-000008040000}"/>
    <cellStyle name="Normal 8 2 4" xfId="299" xr:uid="{00000000-0005-0000-0000-000009040000}"/>
    <cellStyle name="Normal 8 2 4 2" xfId="915" xr:uid="{00000000-0005-0000-0000-00000A040000}"/>
    <cellStyle name="Normal 8 2 5" xfId="709" xr:uid="{00000000-0005-0000-0000-00000B040000}"/>
    <cellStyle name="Normal 8 3" xfId="143" xr:uid="{00000000-0005-0000-0000-00000C040000}"/>
    <cellStyle name="Normal 8 3 2" xfId="555" xr:uid="{00000000-0005-0000-0000-00000D040000}"/>
    <cellStyle name="Normal 8 3 2 2" xfId="1171" xr:uid="{00000000-0005-0000-0000-00000E040000}"/>
    <cellStyle name="Normal 8 3 3" xfId="350" xr:uid="{00000000-0005-0000-0000-00000F040000}"/>
    <cellStyle name="Normal 8 3 3 2" xfId="966" xr:uid="{00000000-0005-0000-0000-000010040000}"/>
    <cellStyle name="Normal 8 3 4" xfId="760" xr:uid="{00000000-0005-0000-0000-000011040000}"/>
    <cellStyle name="Normal 8 4" xfId="453" xr:uid="{00000000-0005-0000-0000-000012040000}"/>
    <cellStyle name="Normal 8 4 2" xfId="1069" xr:uid="{00000000-0005-0000-0000-000013040000}"/>
    <cellStyle name="Normal 8 5" xfId="248" xr:uid="{00000000-0005-0000-0000-000014040000}"/>
    <cellStyle name="Normal 8 5 2" xfId="864" xr:uid="{00000000-0005-0000-0000-000015040000}"/>
    <cellStyle name="Normal 8 6" xfId="658" xr:uid="{00000000-0005-0000-0000-000016040000}"/>
    <cellStyle name="Normal 9" xfId="221" xr:uid="{00000000-0005-0000-0000-000017040000}"/>
    <cellStyle name="Porcentagem" xfId="2" builtinId="5"/>
    <cellStyle name="Porcentagem 2" xfId="3" xr:uid="{00000000-0005-0000-0000-000019040000}"/>
    <cellStyle name="Porcentagem 2 2" xfId="19" xr:uid="{00000000-0005-0000-0000-00001A040000}"/>
    <cellStyle name="Porcentagem 2 2 2" xfId="51" xr:uid="{00000000-0005-0000-0000-00001B040000}"/>
    <cellStyle name="Porcentagem 2 3" xfId="39" xr:uid="{00000000-0005-0000-0000-00001C040000}"/>
    <cellStyle name="Porcentagem 3" xfId="38" xr:uid="{00000000-0005-0000-0000-00001D040000}"/>
    <cellStyle name="Separador de milhares 2 2" xfId="6" xr:uid="{00000000-0005-0000-0000-00001E040000}"/>
    <cellStyle name="Separador de milhares 2 2 2" xfId="42" xr:uid="{00000000-0005-0000-0000-00001F040000}"/>
    <cellStyle name="Separador de milhares 3" xfId="5" xr:uid="{00000000-0005-0000-0000-000020040000}"/>
    <cellStyle name="Separador de milhares 3 2" xfId="41" xr:uid="{00000000-0005-0000-0000-000021040000}"/>
    <cellStyle name="Separador de milhares 3 2 2" xfId="95" xr:uid="{00000000-0005-0000-0000-000022040000}"/>
    <cellStyle name="Separador de milhares 3 2 2 2" xfId="197" xr:uid="{00000000-0005-0000-0000-000023040000}"/>
    <cellStyle name="Separador de milhares 3 2 2 2 2" xfId="609" xr:uid="{00000000-0005-0000-0000-000024040000}"/>
    <cellStyle name="Separador de milhares 3 2 2 2 2 2" xfId="1225" xr:uid="{00000000-0005-0000-0000-000025040000}"/>
    <cellStyle name="Separador de milhares 3 2 2 2 3" xfId="404" xr:uid="{00000000-0005-0000-0000-000026040000}"/>
    <cellStyle name="Separador de milhares 3 2 2 2 3 2" xfId="1020" xr:uid="{00000000-0005-0000-0000-000027040000}"/>
    <cellStyle name="Separador de milhares 3 2 2 2 4" xfId="814" xr:uid="{00000000-0005-0000-0000-000028040000}"/>
    <cellStyle name="Separador de milhares 3 2 2 3" xfId="507" xr:uid="{00000000-0005-0000-0000-000029040000}"/>
    <cellStyle name="Separador de milhares 3 2 2 3 2" xfId="1123" xr:uid="{00000000-0005-0000-0000-00002A040000}"/>
    <cellStyle name="Separador de milhares 3 2 2 4" xfId="302" xr:uid="{00000000-0005-0000-0000-00002B040000}"/>
    <cellStyle name="Separador de milhares 3 2 2 4 2" xfId="918" xr:uid="{00000000-0005-0000-0000-00002C040000}"/>
    <cellStyle name="Separador de milhares 3 2 2 5" xfId="712" xr:uid="{00000000-0005-0000-0000-00002D040000}"/>
    <cellStyle name="Separador de milhares 3 2 3" xfId="146" xr:uid="{00000000-0005-0000-0000-00002E040000}"/>
    <cellStyle name="Separador de milhares 3 2 3 2" xfId="558" xr:uid="{00000000-0005-0000-0000-00002F040000}"/>
    <cellStyle name="Separador de milhares 3 2 3 2 2" xfId="1174" xr:uid="{00000000-0005-0000-0000-000030040000}"/>
    <cellStyle name="Separador de milhares 3 2 3 3" xfId="353" xr:uid="{00000000-0005-0000-0000-000031040000}"/>
    <cellStyle name="Separador de milhares 3 2 3 3 2" xfId="969" xr:uid="{00000000-0005-0000-0000-000032040000}"/>
    <cellStyle name="Separador de milhares 3 2 3 4" xfId="763" xr:uid="{00000000-0005-0000-0000-000033040000}"/>
    <cellStyle name="Separador de milhares 3 2 4" xfId="456" xr:uid="{00000000-0005-0000-0000-000034040000}"/>
    <cellStyle name="Separador de milhares 3 2 4 2" xfId="1072" xr:uid="{00000000-0005-0000-0000-000035040000}"/>
    <cellStyle name="Separador de milhares 3 2 5" xfId="251" xr:uid="{00000000-0005-0000-0000-000036040000}"/>
    <cellStyle name="Separador de milhares 3 2 5 2" xfId="867" xr:uid="{00000000-0005-0000-0000-000037040000}"/>
    <cellStyle name="Separador de milhares 3 2 6" xfId="661" xr:uid="{00000000-0005-0000-0000-000038040000}"/>
    <cellStyle name="Vírgula" xfId="4" builtinId="3"/>
    <cellStyle name="Vírgula 2" xfId="10" xr:uid="{00000000-0005-0000-0000-00003A040000}"/>
    <cellStyle name="Vírgula 2 2" xfId="26" xr:uid="{00000000-0005-0000-0000-00003B040000}"/>
    <cellStyle name="Vírgula 2 2 2" xfId="58" xr:uid="{00000000-0005-0000-0000-00003C040000}"/>
    <cellStyle name="Vírgula 2 2 2 2" xfId="110" xr:uid="{00000000-0005-0000-0000-00003D040000}"/>
    <cellStyle name="Vírgula 2 2 2 2 2" xfId="212" xr:uid="{00000000-0005-0000-0000-00003E040000}"/>
    <cellStyle name="Vírgula 2 2 2 2 2 2" xfId="624" xr:uid="{00000000-0005-0000-0000-00003F040000}"/>
    <cellStyle name="Vírgula 2 2 2 2 2 2 2" xfId="1240" xr:uid="{00000000-0005-0000-0000-000040040000}"/>
    <cellStyle name="Vírgula 2 2 2 2 2 3" xfId="419" xr:uid="{00000000-0005-0000-0000-000041040000}"/>
    <cellStyle name="Vírgula 2 2 2 2 2 3 2" xfId="1035" xr:uid="{00000000-0005-0000-0000-000042040000}"/>
    <cellStyle name="Vírgula 2 2 2 2 2 4" xfId="829" xr:uid="{00000000-0005-0000-0000-000043040000}"/>
    <cellStyle name="Vírgula 2 2 2 2 3" xfId="522" xr:uid="{00000000-0005-0000-0000-000044040000}"/>
    <cellStyle name="Vírgula 2 2 2 2 3 2" xfId="1138" xr:uid="{00000000-0005-0000-0000-000045040000}"/>
    <cellStyle name="Vírgula 2 2 2 2 4" xfId="317" xr:uid="{00000000-0005-0000-0000-000046040000}"/>
    <cellStyle name="Vírgula 2 2 2 2 4 2" xfId="933" xr:uid="{00000000-0005-0000-0000-000047040000}"/>
    <cellStyle name="Vírgula 2 2 2 2 5" xfId="727" xr:uid="{00000000-0005-0000-0000-000048040000}"/>
    <cellStyle name="Vírgula 2 2 2 3" xfId="161" xr:uid="{00000000-0005-0000-0000-000049040000}"/>
    <cellStyle name="Vírgula 2 2 2 3 2" xfId="573" xr:uid="{00000000-0005-0000-0000-00004A040000}"/>
    <cellStyle name="Vírgula 2 2 2 3 2 2" xfId="1189" xr:uid="{00000000-0005-0000-0000-00004B040000}"/>
    <cellStyle name="Vírgula 2 2 2 3 3" xfId="368" xr:uid="{00000000-0005-0000-0000-00004C040000}"/>
    <cellStyle name="Vírgula 2 2 2 3 3 2" xfId="984" xr:uid="{00000000-0005-0000-0000-00004D040000}"/>
    <cellStyle name="Vírgula 2 2 2 3 4" xfId="778" xr:uid="{00000000-0005-0000-0000-00004E040000}"/>
    <cellStyle name="Vírgula 2 2 2 4" xfId="471" xr:uid="{00000000-0005-0000-0000-00004F040000}"/>
    <cellStyle name="Vírgula 2 2 2 4 2" xfId="1087" xr:uid="{00000000-0005-0000-0000-000050040000}"/>
    <cellStyle name="Vírgula 2 2 2 5" xfId="266" xr:uid="{00000000-0005-0000-0000-000051040000}"/>
    <cellStyle name="Vírgula 2 2 2 5 2" xfId="882" xr:uid="{00000000-0005-0000-0000-000052040000}"/>
    <cellStyle name="Vírgula 2 2 2 6" xfId="676" xr:uid="{00000000-0005-0000-0000-000053040000}"/>
    <cellStyle name="Vírgula 2 2 3" xfId="82" xr:uid="{00000000-0005-0000-0000-000054040000}"/>
    <cellStyle name="Vírgula 2 2 3 2" xfId="185" xr:uid="{00000000-0005-0000-0000-000055040000}"/>
    <cellStyle name="Vírgula 2 2 3 2 2" xfId="597" xr:uid="{00000000-0005-0000-0000-000056040000}"/>
    <cellStyle name="Vírgula 2 2 3 2 2 2" xfId="1213" xr:uid="{00000000-0005-0000-0000-000057040000}"/>
    <cellStyle name="Vírgula 2 2 3 2 3" xfId="392" xr:uid="{00000000-0005-0000-0000-000058040000}"/>
    <cellStyle name="Vírgula 2 2 3 2 3 2" xfId="1008" xr:uid="{00000000-0005-0000-0000-000059040000}"/>
    <cellStyle name="Vírgula 2 2 3 2 4" xfId="802" xr:uid="{00000000-0005-0000-0000-00005A040000}"/>
    <cellStyle name="Vírgula 2 2 3 3" xfId="495" xr:uid="{00000000-0005-0000-0000-00005B040000}"/>
    <cellStyle name="Vírgula 2 2 3 3 2" xfId="1111" xr:uid="{00000000-0005-0000-0000-00005C040000}"/>
    <cellStyle name="Vírgula 2 2 3 4" xfId="290" xr:uid="{00000000-0005-0000-0000-00005D040000}"/>
    <cellStyle name="Vírgula 2 2 3 4 2" xfId="906" xr:uid="{00000000-0005-0000-0000-00005E040000}"/>
    <cellStyle name="Vírgula 2 2 3 5" xfId="700" xr:uid="{00000000-0005-0000-0000-00005F040000}"/>
    <cellStyle name="Vírgula 2 2 4" xfId="134" xr:uid="{00000000-0005-0000-0000-000060040000}"/>
    <cellStyle name="Vírgula 2 2 4 2" xfId="546" xr:uid="{00000000-0005-0000-0000-000061040000}"/>
    <cellStyle name="Vírgula 2 2 4 2 2" xfId="1162" xr:uid="{00000000-0005-0000-0000-000062040000}"/>
    <cellStyle name="Vírgula 2 2 4 3" xfId="341" xr:uid="{00000000-0005-0000-0000-000063040000}"/>
    <cellStyle name="Vírgula 2 2 4 3 2" xfId="957" xr:uid="{00000000-0005-0000-0000-000064040000}"/>
    <cellStyle name="Vírgula 2 2 4 4" xfId="751" xr:uid="{00000000-0005-0000-0000-000065040000}"/>
    <cellStyle name="Vírgula 2 2 5" xfId="444" xr:uid="{00000000-0005-0000-0000-000066040000}"/>
    <cellStyle name="Vírgula 2 2 5 2" xfId="1060" xr:uid="{00000000-0005-0000-0000-000067040000}"/>
    <cellStyle name="Vírgula 2 2 6" xfId="239" xr:uid="{00000000-0005-0000-0000-000068040000}"/>
    <cellStyle name="Vírgula 2 2 6 2" xfId="855" xr:uid="{00000000-0005-0000-0000-000069040000}"/>
    <cellStyle name="Vírgula 2 2 7" xfId="649" xr:uid="{00000000-0005-0000-0000-00006A040000}"/>
    <cellStyle name="Vírgula 2 3" xfId="18" xr:uid="{00000000-0005-0000-0000-00006B040000}"/>
    <cellStyle name="Vírgula 2 3 2" xfId="50" xr:uid="{00000000-0005-0000-0000-00006C040000}"/>
    <cellStyle name="Vírgula 2 3 2 2" xfId="103" xr:uid="{00000000-0005-0000-0000-00006D040000}"/>
    <cellStyle name="Vírgula 2 3 2 2 2" xfId="205" xr:uid="{00000000-0005-0000-0000-00006E040000}"/>
    <cellStyle name="Vírgula 2 3 2 2 2 2" xfId="617" xr:uid="{00000000-0005-0000-0000-00006F040000}"/>
    <cellStyle name="Vírgula 2 3 2 2 2 2 2" xfId="1233" xr:uid="{00000000-0005-0000-0000-000070040000}"/>
    <cellStyle name="Vírgula 2 3 2 2 2 3" xfId="412" xr:uid="{00000000-0005-0000-0000-000071040000}"/>
    <cellStyle name="Vírgula 2 3 2 2 2 3 2" xfId="1028" xr:uid="{00000000-0005-0000-0000-000072040000}"/>
    <cellStyle name="Vírgula 2 3 2 2 2 4" xfId="822" xr:uid="{00000000-0005-0000-0000-000073040000}"/>
    <cellStyle name="Vírgula 2 3 2 2 3" xfId="515" xr:uid="{00000000-0005-0000-0000-000074040000}"/>
    <cellStyle name="Vírgula 2 3 2 2 3 2" xfId="1131" xr:uid="{00000000-0005-0000-0000-000075040000}"/>
    <cellStyle name="Vírgula 2 3 2 2 4" xfId="310" xr:uid="{00000000-0005-0000-0000-000076040000}"/>
    <cellStyle name="Vírgula 2 3 2 2 4 2" xfId="926" xr:uid="{00000000-0005-0000-0000-000077040000}"/>
    <cellStyle name="Vírgula 2 3 2 2 5" xfId="720" xr:uid="{00000000-0005-0000-0000-000078040000}"/>
    <cellStyle name="Vírgula 2 3 2 3" xfId="154" xr:uid="{00000000-0005-0000-0000-000079040000}"/>
    <cellStyle name="Vírgula 2 3 2 3 2" xfId="566" xr:uid="{00000000-0005-0000-0000-00007A040000}"/>
    <cellStyle name="Vírgula 2 3 2 3 2 2" xfId="1182" xr:uid="{00000000-0005-0000-0000-00007B040000}"/>
    <cellStyle name="Vírgula 2 3 2 3 3" xfId="361" xr:uid="{00000000-0005-0000-0000-00007C040000}"/>
    <cellStyle name="Vírgula 2 3 2 3 3 2" xfId="977" xr:uid="{00000000-0005-0000-0000-00007D040000}"/>
    <cellStyle name="Vírgula 2 3 2 3 4" xfId="771" xr:uid="{00000000-0005-0000-0000-00007E040000}"/>
    <cellStyle name="Vírgula 2 3 2 4" xfId="464" xr:uid="{00000000-0005-0000-0000-00007F040000}"/>
    <cellStyle name="Vírgula 2 3 2 4 2" xfId="1080" xr:uid="{00000000-0005-0000-0000-000080040000}"/>
    <cellStyle name="Vírgula 2 3 2 5" xfId="259" xr:uid="{00000000-0005-0000-0000-000081040000}"/>
    <cellStyle name="Vírgula 2 3 2 5 2" xfId="875" xr:uid="{00000000-0005-0000-0000-000082040000}"/>
    <cellStyle name="Vírgula 2 3 2 6" xfId="669" xr:uid="{00000000-0005-0000-0000-000083040000}"/>
    <cellStyle name="Vírgula 2 3 3" xfId="75" xr:uid="{00000000-0005-0000-0000-000084040000}"/>
    <cellStyle name="Vírgula 2 3 3 2" xfId="178" xr:uid="{00000000-0005-0000-0000-000085040000}"/>
    <cellStyle name="Vírgula 2 3 3 2 2" xfId="590" xr:uid="{00000000-0005-0000-0000-000086040000}"/>
    <cellStyle name="Vírgula 2 3 3 2 2 2" xfId="1206" xr:uid="{00000000-0005-0000-0000-000087040000}"/>
    <cellStyle name="Vírgula 2 3 3 2 3" xfId="385" xr:uid="{00000000-0005-0000-0000-000088040000}"/>
    <cellStyle name="Vírgula 2 3 3 2 3 2" xfId="1001" xr:uid="{00000000-0005-0000-0000-000089040000}"/>
    <cellStyle name="Vírgula 2 3 3 2 4" xfId="795" xr:uid="{00000000-0005-0000-0000-00008A040000}"/>
    <cellStyle name="Vírgula 2 3 3 3" xfId="488" xr:uid="{00000000-0005-0000-0000-00008B040000}"/>
    <cellStyle name="Vírgula 2 3 3 3 2" xfId="1104" xr:uid="{00000000-0005-0000-0000-00008C040000}"/>
    <cellStyle name="Vírgula 2 3 3 4" xfId="283" xr:uid="{00000000-0005-0000-0000-00008D040000}"/>
    <cellStyle name="Vírgula 2 3 3 4 2" xfId="899" xr:uid="{00000000-0005-0000-0000-00008E040000}"/>
    <cellStyle name="Vírgula 2 3 3 5" xfId="693" xr:uid="{00000000-0005-0000-0000-00008F040000}"/>
    <cellStyle name="Vírgula 2 3 4" xfId="127" xr:uid="{00000000-0005-0000-0000-000090040000}"/>
    <cellStyle name="Vírgula 2 3 4 2" xfId="539" xr:uid="{00000000-0005-0000-0000-000091040000}"/>
    <cellStyle name="Vírgula 2 3 4 2 2" xfId="1155" xr:uid="{00000000-0005-0000-0000-000092040000}"/>
    <cellStyle name="Vírgula 2 3 4 3" xfId="334" xr:uid="{00000000-0005-0000-0000-000093040000}"/>
    <cellStyle name="Vírgula 2 3 4 3 2" xfId="950" xr:uid="{00000000-0005-0000-0000-000094040000}"/>
    <cellStyle name="Vírgula 2 3 4 4" xfId="744" xr:uid="{00000000-0005-0000-0000-000095040000}"/>
    <cellStyle name="Vírgula 2 3 5" xfId="437" xr:uid="{00000000-0005-0000-0000-000096040000}"/>
    <cellStyle name="Vírgula 2 3 5 2" xfId="1053" xr:uid="{00000000-0005-0000-0000-000097040000}"/>
    <cellStyle name="Vírgula 2 3 6" xfId="232" xr:uid="{00000000-0005-0000-0000-000098040000}"/>
    <cellStyle name="Vírgula 2 3 6 2" xfId="848" xr:uid="{00000000-0005-0000-0000-000099040000}"/>
    <cellStyle name="Vírgula 2 3 7" xfId="642" xr:uid="{00000000-0005-0000-0000-00009A040000}"/>
    <cellStyle name="Vírgula 2 4" xfId="44" xr:uid="{00000000-0005-0000-0000-00009B040000}"/>
    <cellStyle name="Vírgula 2 4 2" xfId="97" xr:uid="{00000000-0005-0000-0000-00009C040000}"/>
    <cellStyle name="Vírgula 2 4 2 2" xfId="199" xr:uid="{00000000-0005-0000-0000-00009D040000}"/>
    <cellStyle name="Vírgula 2 4 2 2 2" xfId="611" xr:uid="{00000000-0005-0000-0000-00009E040000}"/>
    <cellStyle name="Vírgula 2 4 2 2 2 2" xfId="1227" xr:uid="{00000000-0005-0000-0000-00009F040000}"/>
    <cellStyle name="Vírgula 2 4 2 2 3" xfId="406" xr:uid="{00000000-0005-0000-0000-0000A0040000}"/>
    <cellStyle name="Vírgula 2 4 2 2 3 2" xfId="1022" xr:uid="{00000000-0005-0000-0000-0000A1040000}"/>
    <cellStyle name="Vírgula 2 4 2 2 4" xfId="816" xr:uid="{00000000-0005-0000-0000-0000A2040000}"/>
    <cellStyle name="Vírgula 2 4 2 3" xfId="509" xr:uid="{00000000-0005-0000-0000-0000A3040000}"/>
    <cellStyle name="Vírgula 2 4 2 3 2" xfId="1125" xr:uid="{00000000-0005-0000-0000-0000A4040000}"/>
    <cellStyle name="Vírgula 2 4 2 4" xfId="304" xr:uid="{00000000-0005-0000-0000-0000A5040000}"/>
    <cellStyle name="Vírgula 2 4 2 4 2" xfId="920" xr:uid="{00000000-0005-0000-0000-0000A6040000}"/>
    <cellStyle name="Vírgula 2 4 2 5" xfId="714" xr:uid="{00000000-0005-0000-0000-0000A7040000}"/>
    <cellStyle name="Vírgula 2 4 3" xfId="148" xr:uid="{00000000-0005-0000-0000-0000A8040000}"/>
    <cellStyle name="Vírgula 2 4 3 2" xfId="560" xr:uid="{00000000-0005-0000-0000-0000A9040000}"/>
    <cellStyle name="Vírgula 2 4 3 2 2" xfId="1176" xr:uid="{00000000-0005-0000-0000-0000AA040000}"/>
    <cellStyle name="Vírgula 2 4 3 3" xfId="355" xr:uid="{00000000-0005-0000-0000-0000AB040000}"/>
    <cellStyle name="Vírgula 2 4 3 3 2" xfId="971" xr:uid="{00000000-0005-0000-0000-0000AC040000}"/>
    <cellStyle name="Vírgula 2 4 3 4" xfId="765" xr:uid="{00000000-0005-0000-0000-0000AD040000}"/>
    <cellStyle name="Vírgula 2 4 4" xfId="458" xr:uid="{00000000-0005-0000-0000-0000AE040000}"/>
    <cellStyle name="Vírgula 2 4 4 2" xfId="1074" xr:uid="{00000000-0005-0000-0000-0000AF040000}"/>
    <cellStyle name="Vírgula 2 4 5" xfId="253" xr:uid="{00000000-0005-0000-0000-0000B0040000}"/>
    <cellStyle name="Vírgula 2 4 5 2" xfId="869" xr:uid="{00000000-0005-0000-0000-0000B1040000}"/>
    <cellStyle name="Vírgula 2 4 6" xfId="663" xr:uid="{00000000-0005-0000-0000-0000B2040000}"/>
    <cellStyle name="Vírgula 2 5" xfId="69" xr:uid="{00000000-0005-0000-0000-0000B3040000}"/>
    <cellStyle name="Vírgula 2 5 2" xfId="172" xr:uid="{00000000-0005-0000-0000-0000B4040000}"/>
    <cellStyle name="Vírgula 2 5 2 2" xfId="584" xr:uid="{00000000-0005-0000-0000-0000B5040000}"/>
    <cellStyle name="Vírgula 2 5 2 2 2" xfId="1200" xr:uid="{00000000-0005-0000-0000-0000B6040000}"/>
    <cellStyle name="Vírgula 2 5 2 3" xfId="379" xr:uid="{00000000-0005-0000-0000-0000B7040000}"/>
    <cellStyle name="Vírgula 2 5 2 3 2" xfId="995" xr:uid="{00000000-0005-0000-0000-0000B8040000}"/>
    <cellStyle name="Vírgula 2 5 2 4" xfId="789" xr:uid="{00000000-0005-0000-0000-0000B9040000}"/>
    <cellStyle name="Vírgula 2 5 3" xfId="482" xr:uid="{00000000-0005-0000-0000-0000BA040000}"/>
    <cellStyle name="Vírgula 2 5 3 2" xfId="1098" xr:uid="{00000000-0005-0000-0000-0000BB040000}"/>
    <cellStyle name="Vírgula 2 5 4" xfId="277" xr:uid="{00000000-0005-0000-0000-0000BC040000}"/>
    <cellStyle name="Vírgula 2 5 4 2" xfId="893" xr:uid="{00000000-0005-0000-0000-0000BD040000}"/>
    <cellStyle name="Vírgula 2 5 5" xfId="687" xr:uid="{00000000-0005-0000-0000-0000BE040000}"/>
    <cellStyle name="Vírgula 2 6" xfId="121" xr:uid="{00000000-0005-0000-0000-0000BF040000}"/>
    <cellStyle name="Vírgula 2 6 2" xfId="533" xr:uid="{00000000-0005-0000-0000-0000C0040000}"/>
    <cellStyle name="Vírgula 2 6 2 2" xfId="1149" xr:uid="{00000000-0005-0000-0000-0000C1040000}"/>
    <cellStyle name="Vírgula 2 6 3" xfId="328" xr:uid="{00000000-0005-0000-0000-0000C2040000}"/>
    <cellStyle name="Vírgula 2 6 3 2" xfId="944" xr:uid="{00000000-0005-0000-0000-0000C3040000}"/>
    <cellStyle name="Vírgula 2 6 4" xfId="738" xr:uid="{00000000-0005-0000-0000-0000C4040000}"/>
    <cellStyle name="Vírgula 2 7" xfId="431" xr:uid="{00000000-0005-0000-0000-0000C5040000}"/>
    <cellStyle name="Vírgula 2 7 2" xfId="1047" xr:uid="{00000000-0005-0000-0000-0000C6040000}"/>
    <cellStyle name="Vírgula 2 8" xfId="226" xr:uid="{00000000-0005-0000-0000-0000C7040000}"/>
    <cellStyle name="Vírgula 2 8 2" xfId="842" xr:uid="{00000000-0005-0000-0000-0000C8040000}"/>
    <cellStyle name="Vírgula 2 9" xfId="636" xr:uid="{00000000-0005-0000-0000-0000C9040000}"/>
    <cellStyle name="Vírgula 2 9 2" xfId="1250" xr:uid="{00000000-0005-0000-0000-0000CA040000}"/>
    <cellStyle name="Vírgula 3" xfId="40" xr:uid="{00000000-0005-0000-0000-0000CB040000}"/>
    <cellStyle name="Vírgula 3 2" xfId="94" xr:uid="{00000000-0005-0000-0000-0000CC040000}"/>
    <cellStyle name="Vírgula 3 2 2" xfId="196" xr:uid="{00000000-0005-0000-0000-0000CD040000}"/>
    <cellStyle name="Vírgula 3 2 2 2" xfId="608" xr:uid="{00000000-0005-0000-0000-0000CE040000}"/>
    <cellStyle name="Vírgula 3 2 2 2 2" xfId="1224" xr:uid="{00000000-0005-0000-0000-0000CF040000}"/>
    <cellStyle name="Vírgula 3 2 2 3" xfId="403" xr:uid="{00000000-0005-0000-0000-0000D0040000}"/>
    <cellStyle name="Vírgula 3 2 2 3 2" xfId="1019" xr:uid="{00000000-0005-0000-0000-0000D1040000}"/>
    <cellStyle name="Vírgula 3 2 2 4" xfId="813" xr:uid="{00000000-0005-0000-0000-0000D2040000}"/>
    <cellStyle name="Vírgula 3 2 3" xfId="506" xr:uid="{00000000-0005-0000-0000-0000D3040000}"/>
    <cellStyle name="Vírgula 3 2 3 2" xfId="1122" xr:uid="{00000000-0005-0000-0000-0000D4040000}"/>
    <cellStyle name="Vírgula 3 2 4" xfId="301" xr:uid="{00000000-0005-0000-0000-0000D5040000}"/>
    <cellStyle name="Vírgula 3 2 4 2" xfId="917" xr:uid="{00000000-0005-0000-0000-0000D6040000}"/>
    <cellStyle name="Vírgula 3 2 5" xfId="711" xr:uid="{00000000-0005-0000-0000-0000D7040000}"/>
    <cellStyle name="Vírgula 3 3" xfId="145" xr:uid="{00000000-0005-0000-0000-0000D8040000}"/>
    <cellStyle name="Vírgula 3 3 2" xfId="557" xr:uid="{00000000-0005-0000-0000-0000D9040000}"/>
    <cellStyle name="Vírgula 3 3 2 2" xfId="1173" xr:uid="{00000000-0005-0000-0000-0000DA040000}"/>
    <cellStyle name="Vírgula 3 3 3" xfId="352" xr:uid="{00000000-0005-0000-0000-0000DB040000}"/>
    <cellStyle name="Vírgula 3 3 3 2" xfId="968" xr:uid="{00000000-0005-0000-0000-0000DC040000}"/>
    <cellStyle name="Vírgula 3 3 4" xfId="762" xr:uid="{00000000-0005-0000-0000-0000DD040000}"/>
    <cellStyle name="Vírgula 3 4" xfId="455" xr:uid="{00000000-0005-0000-0000-0000DE040000}"/>
    <cellStyle name="Vírgula 3 4 2" xfId="1071" xr:uid="{00000000-0005-0000-0000-0000DF040000}"/>
    <cellStyle name="Vírgula 3 5" xfId="250" xr:uid="{00000000-0005-0000-0000-0000E0040000}"/>
    <cellStyle name="Vírgula 3 5 2" xfId="866" xr:uid="{00000000-0005-0000-0000-0000E1040000}"/>
    <cellStyle name="Vírgula 3 6" xfId="660" xr:uid="{00000000-0005-0000-0000-0000E2040000}"/>
  </cellStyles>
  <dxfs count="2">
    <dxf>
      <font>
        <color rgb="FF9C0006"/>
      </font>
      <fill>
        <patternFill>
          <bgColor rgb="FFFFC7CE"/>
        </patternFill>
      </fill>
    </dxf>
    <dxf>
      <font>
        <b/>
        <i val="0"/>
        <color rgb="FFFFFF00"/>
      </font>
      <fill>
        <patternFill>
          <bgColor rgb="FFFF0000"/>
        </patternFill>
      </fill>
    </dxf>
  </dxfs>
  <tableStyles count="0" defaultTableStyle="TableStyleMedium9" defaultPivotStyle="PivotStyleLight16"/>
  <colors>
    <mruColors>
      <color rgb="FF28B4A9"/>
      <color rgb="FF93F2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5601637</xdr:colOff>
      <xdr:row>3</xdr:row>
      <xdr:rowOff>98334</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5601637" cy="26760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AC295"/>
  <sheetViews>
    <sheetView tabSelected="1" view="pageBreakPreview" zoomScale="20" zoomScaleNormal="50" zoomScaleSheetLayoutView="20" zoomScalePageLayoutView="50" workbookViewId="0">
      <selection activeCell="I13" sqref="I1:V1048576"/>
    </sheetView>
  </sheetViews>
  <sheetFormatPr defaultColWidth="9.109375" defaultRowHeight="67.2" x14ac:dyDescent="1.2"/>
  <cols>
    <col min="1" max="1" width="119.5546875" style="51" bestFit="1" customWidth="1"/>
    <col min="2" max="2" width="255.6640625" style="52" bestFit="1" customWidth="1"/>
    <col min="3" max="3" width="30.109375" style="53" bestFit="1" customWidth="1"/>
    <col min="4" max="4" width="50.6640625" style="54" bestFit="1" customWidth="1"/>
    <col min="5" max="6" width="39.5546875" style="54" bestFit="1" customWidth="1"/>
    <col min="7" max="7" width="50.6640625" style="54" bestFit="1" customWidth="1"/>
    <col min="8" max="8" width="60.6640625" style="55" customWidth="1"/>
    <col min="9" max="9" width="75.88671875" style="56" bestFit="1" customWidth="1"/>
    <col min="10" max="10" width="98.33203125" style="57" bestFit="1" customWidth="1"/>
    <col min="11" max="11" width="98.44140625" style="56" bestFit="1" customWidth="1"/>
    <col min="12" max="12" width="71.33203125" style="18" bestFit="1" customWidth="1"/>
    <col min="13" max="13" width="116.33203125" style="54" bestFit="1" customWidth="1"/>
    <col min="14" max="14" width="125.6640625" style="54" customWidth="1"/>
    <col min="15" max="15" width="98.44140625" style="58" hidden="1" customWidth="1"/>
    <col min="16" max="16" width="112.33203125" style="59" bestFit="1" customWidth="1"/>
    <col min="17" max="17" width="75.6640625" style="59" bestFit="1" customWidth="1"/>
    <col min="18" max="18" width="9.109375" style="18" customWidth="1"/>
    <col min="19" max="19" width="9.109375" style="18"/>
    <col min="20" max="20" width="21" style="18" bestFit="1" customWidth="1"/>
    <col min="21" max="21" width="82.33203125" style="18" bestFit="1" customWidth="1"/>
    <col min="22" max="23" width="9.109375" style="18"/>
    <col min="24" max="24" width="22" style="18" bestFit="1" customWidth="1"/>
    <col min="25" max="16384" width="9.109375" style="18"/>
  </cols>
  <sheetData>
    <row r="1" spans="1:24" s="92" customFormat="1" ht="66.599999999999994" x14ac:dyDescent="0.25">
      <c r="A1" s="103"/>
      <c r="B1" s="104" t="s">
        <v>518</v>
      </c>
      <c r="C1" s="104"/>
      <c r="D1" s="104"/>
      <c r="E1" s="104"/>
      <c r="F1" s="104"/>
      <c r="G1" s="104"/>
      <c r="H1" s="104"/>
      <c r="I1" s="104"/>
      <c r="J1" s="104"/>
      <c r="K1" s="104"/>
      <c r="L1" s="104"/>
      <c r="M1" s="104"/>
      <c r="N1" s="104"/>
      <c r="O1" s="104"/>
      <c r="P1" s="104"/>
      <c r="Q1" s="104"/>
    </row>
    <row r="2" spans="1:24" s="92" customFormat="1" ht="66.599999999999994" x14ac:dyDescent="0.25">
      <c r="A2" s="103"/>
      <c r="B2" s="102" t="s">
        <v>483</v>
      </c>
      <c r="C2" s="104" t="s">
        <v>476</v>
      </c>
      <c r="D2" s="104"/>
      <c r="E2" s="104"/>
      <c r="F2" s="104"/>
      <c r="G2" s="104"/>
      <c r="H2" s="104"/>
      <c r="I2" s="104"/>
      <c r="J2" s="104"/>
      <c r="K2" s="104"/>
      <c r="L2" s="104"/>
      <c r="M2" s="104"/>
      <c r="N2" s="104"/>
      <c r="O2" s="104"/>
      <c r="P2" s="104"/>
      <c r="Q2" s="104"/>
    </row>
    <row r="3" spans="1:24" s="92" customFormat="1" ht="66.599999999999994" x14ac:dyDescent="0.25">
      <c r="A3" s="103"/>
      <c r="B3" s="102"/>
      <c r="C3" s="104"/>
      <c r="D3" s="104"/>
      <c r="E3" s="104"/>
      <c r="F3" s="104"/>
      <c r="G3" s="104"/>
      <c r="H3" s="104"/>
      <c r="I3" s="104"/>
      <c r="J3" s="104"/>
      <c r="K3" s="104"/>
      <c r="L3" s="104"/>
      <c r="M3" s="104"/>
      <c r="N3" s="104"/>
      <c r="O3" s="104"/>
      <c r="P3" s="104"/>
      <c r="Q3" s="104"/>
    </row>
    <row r="4" spans="1:24" s="92" customFormat="1" ht="66.599999999999994" x14ac:dyDescent="0.25">
      <c r="A4" s="103" t="s">
        <v>491</v>
      </c>
      <c r="B4" s="108" t="s">
        <v>477</v>
      </c>
      <c r="C4" s="105" t="s">
        <v>478</v>
      </c>
      <c r="D4" s="105"/>
      <c r="E4" s="105"/>
      <c r="F4" s="105"/>
      <c r="G4" s="105"/>
      <c r="H4" s="105"/>
      <c r="I4" s="105"/>
      <c r="J4" s="105"/>
      <c r="K4" s="105"/>
      <c r="L4" s="105"/>
      <c r="M4" s="105"/>
      <c r="N4" s="1" t="s">
        <v>497</v>
      </c>
      <c r="O4" s="103" t="s">
        <v>496</v>
      </c>
      <c r="P4" s="103"/>
      <c r="Q4" s="103"/>
    </row>
    <row r="5" spans="1:24" s="92" customFormat="1" ht="66.599999999999994" x14ac:dyDescent="0.25">
      <c r="A5" s="103"/>
      <c r="B5" s="108"/>
      <c r="C5" s="105"/>
      <c r="D5" s="105"/>
      <c r="E5" s="105"/>
      <c r="F5" s="105"/>
      <c r="G5" s="105"/>
      <c r="H5" s="105"/>
      <c r="I5" s="105"/>
      <c r="J5" s="105"/>
      <c r="K5" s="105"/>
      <c r="L5" s="105"/>
      <c r="M5" s="105"/>
      <c r="N5" s="4" t="s">
        <v>519</v>
      </c>
      <c r="O5" s="106" t="s">
        <v>484</v>
      </c>
      <c r="P5" s="106"/>
      <c r="Q5" s="106"/>
    </row>
    <row r="6" spans="1:24" s="92" customFormat="1" ht="66.599999999999994" x14ac:dyDescent="0.25">
      <c r="A6" s="5">
        <v>45108</v>
      </c>
      <c r="B6" s="3" t="s">
        <v>492</v>
      </c>
      <c r="C6" s="107" t="s">
        <v>482</v>
      </c>
      <c r="D6" s="107"/>
      <c r="E6" s="107"/>
      <c r="F6" s="107"/>
      <c r="G6" s="107"/>
      <c r="H6" s="107"/>
      <c r="I6" s="107"/>
      <c r="J6" s="107"/>
      <c r="K6" s="107"/>
      <c r="L6" s="107"/>
      <c r="M6" s="107"/>
      <c r="N6" s="2" t="s">
        <v>475</v>
      </c>
      <c r="O6" s="106"/>
      <c r="P6" s="106"/>
      <c r="Q6" s="106"/>
    </row>
    <row r="7" spans="1:24" s="92" customFormat="1" ht="66.599999999999994" x14ac:dyDescent="0.25">
      <c r="A7" s="6" t="s">
        <v>505</v>
      </c>
      <c r="B7" s="101">
        <v>45103</v>
      </c>
      <c r="C7" s="105" t="s">
        <v>493</v>
      </c>
      <c r="D7" s="105"/>
      <c r="E7" s="105"/>
      <c r="F7" s="105"/>
      <c r="G7" s="105"/>
      <c r="H7" s="105"/>
      <c r="I7" s="105"/>
      <c r="J7" s="105"/>
      <c r="K7" s="105"/>
      <c r="L7" s="105"/>
      <c r="M7" s="105"/>
      <c r="N7" s="109" t="e">
        <f>N292</f>
        <v>#REF!</v>
      </c>
      <c r="O7" s="103" t="s">
        <v>495</v>
      </c>
      <c r="P7" s="103"/>
      <c r="Q7" s="103"/>
    </row>
    <row r="8" spans="1:24" s="92" customFormat="1" ht="66.599999999999994" x14ac:dyDescent="0.25">
      <c r="A8" s="7">
        <v>5814300.9299999997</v>
      </c>
      <c r="B8" s="102"/>
      <c r="C8" s="105"/>
      <c r="D8" s="105"/>
      <c r="E8" s="105"/>
      <c r="F8" s="105"/>
      <c r="G8" s="105"/>
      <c r="H8" s="105"/>
      <c r="I8" s="105"/>
      <c r="J8" s="105"/>
      <c r="K8" s="105"/>
      <c r="L8" s="105"/>
      <c r="M8" s="105"/>
      <c r="N8" s="109"/>
      <c r="O8" s="106" t="s">
        <v>479</v>
      </c>
      <c r="P8" s="106"/>
      <c r="Q8" s="106"/>
    </row>
    <row r="9" spans="1:24" s="92" customFormat="1" ht="133.19999999999999" x14ac:dyDescent="0.25">
      <c r="A9" s="8" t="s">
        <v>517</v>
      </c>
      <c r="B9" s="101">
        <v>45348</v>
      </c>
      <c r="C9" s="110" t="s">
        <v>473</v>
      </c>
      <c r="D9" s="110"/>
      <c r="E9" s="110"/>
      <c r="F9" s="110"/>
      <c r="G9" s="110"/>
      <c r="H9" s="110"/>
      <c r="I9" s="110"/>
      <c r="J9" s="110"/>
      <c r="K9" s="110"/>
      <c r="L9" s="110"/>
      <c r="M9" s="110"/>
      <c r="N9" s="2" t="s">
        <v>480</v>
      </c>
      <c r="O9" s="106"/>
      <c r="P9" s="106"/>
      <c r="Q9" s="106"/>
    </row>
    <row r="10" spans="1:24" s="92" customFormat="1" ht="66.599999999999994" x14ac:dyDescent="1.2">
      <c r="A10" s="9">
        <f>771088.5+632153.17+294797.54</f>
        <v>1698039.21</v>
      </c>
      <c r="B10" s="101"/>
      <c r="C10" s="105" t="s">
        <v>494</v>
      </c>
      <c r="D10" s="105"/>
      <c r="E10" s="105"/>
      <c r="F10" s="105"/>
      <c r="G10" s="105"/>
      <c r="H10" s="105"/>
      <c r="I10" s="105"/>
      <c r="J10" s="105"/>
      <c r="K10" s="105"/>
      <c r="L10" s="105"/>
      <c r="M10" s="105"/>
      <c r="N10" s="109" t="e">
        <f>$A$12-O292</f>
        <v>#REF!</v>
      </c>
      <c r="O10" s="106"/>
      <c r="P10" s="106"/>
      <c r="Q10" s="106"/>
      <c r="T10" s="93"/>
    </row>
    <row r="11" spans="1:24" s="92" customFormat="1" ht="66.599999999999994" x14ac:dyDescent="0.25">
      <c r="A11" s="10" t="s">
        <v>506</v>
      </c>
      <c r="B11" s="101"/>
      <c r="C11" s="105"/>
      <c r="D11" s="105"/>
      <c r="E11" s="105"/>
      <c r="F11" s="105"/>
      <c r="G11" s="105"/>
      <c r="H11" s="105"/>
      <c r="I11" s="105"/>
      <c r="J11" s="105"/>
      <c r="K11" s="105"/>
      <c r="L11" s="105"/>
      <c r="M11" s="105"/>
      <c r="N11" s="109"/>
      <c r="O11" s="106"/>
      <c r="P11" s="106"/>
      <c r="Q11" s="106"/>
    </row>
    <row r="12" spans="1:24" s="92" customFormat="1" ht="63.6" customHeight="1" x14ac:dyDescent="1.2">
      <c r="A12" s="9">
        <f>SUM(A8,A10)</f>
        <v>7512340.1399999997</v>
      </c>
      <c r="B12" s="101"/>
      <c r="C12" s="107" t="s">
        <v>481</v>
      </c>
      <c r="D12" s="107"/>
      <c r="E12" s="107"/>
      <c r="F12" s="107"/>
      <c r="G12" s="107"/>
      <c r="H12" s="107"/>
      <c r="I12" s="107"/>
      <c r="J12" s="107"/>
      <c r="K12" s="107"/>
      <c r="L12" s="107"/>
      <c r="M12" s="107"/>
      <c r="N12" s="107"/>
      <c r="O12" s="107"/>
      <c r="P12" s="107"/>
      <c r="Q12" s="107"/>
    </row>
    <row r="13" spans="1:24" s="92" customFormat="1" ht="66.599999999999994" x14ac:dyDescent="0.25">
      <c r="A13" s="100" t="s">
        <v>0</v>
      </c>
      <c r="B13" s="100" t="s">
        <v>488</v>
      </c>
      <c r="C13" s="100" t="s">
        <v>489</v>
      </c>
      <c r="D13" s="100" t="s">
        <v>508</v>
      </c>
      <c r="E13" s="100" t="s">
        <v>486</v>
      </c>
      <c r="F13" s="100" t="s">
        <v>509</v>
      </c>
      <c r="G13" s="100" t="s">
        <v>507</v>
      </c>
      <c r="H13" s="111" t="s">
        <v>490</v>
      </c>
      <c r="I13" s="100" t="s">
        <v>498</v>
      </c>
      <c r="J13" s="100"/>
      <c r="K13" s="100"/>
      <c r="L13" s="100"/>
      <c r="M13" s="100" t="s">
        <v>503</v>
      </c>
      <c r="N13" s="100"/>
      <c r="O13" s="100"/>
      <c r="P13" s="100"/>
      <c r="Q13" s="100"/>
    </row>
    <row r="14" spans="1:24" s="92" customFormat="1" ht="199.8" x14ac:dyDescent="0.25">
      <c r="A14" s="100"/>
      <c r="B14" s="100"/>
      <c r="C14" s="100"/>
      <c r="D14" s="100"/>
      <c r="E14" s="100"/>
      <c r="F14" s="100"/>
      <c r="G14" s="100"/>
      <c r="H14" s="111"/>
      <c r="I14" s="11" t="s">
        <v>516</v>
      </c>
      <c r="J14" s="11" t="s">
        <v>500</v>
      </c>
      <c r="K14" s="11" t="s">
        <v>501</v>
      </c>
      <c r="L14" s="12" t="s">
        <v>502</v>
      </c>
      <c r="M14" s="11" t="s">
        <v>499</v>
      </c>
      <c r="N14" s="11" t="s">
        <v>500</v>
      </c>
      <c r="O14" s="11" t="s">
        <v>501</v>
      </c>
      <c r="P14" s="11" t="s">
        <v>502</v>
      </c>
      <c r="Q14" s="83" t="s">
        <v>504</v>
      </c>
      <c r="X14" s="94"/>
    </row>
    <row r="15" spans="1:24" ht="133.19999999999999" x14ac:dyDescent="1.05">
      <c r="A15" s="13" t="s">
        <v>284</v>
      </c>
      <c r="B15" s="14" t="s">
        <v>3</v>
      </c>
      <c r="C15" s="15"/>
      <c r="D15" s="16"/>
      <c r="E15" s="16"/>
      <c r="F15" s="16"/>
      <c r="G15" s="16"/>
      <c r="H15" s="17"/>
      <c r="I15" s="16"/>
      <c r="J15" s="16"/>
      <c r="K15" s="16"/>
      <c r="L15" s="16"/>
      <c r="M15" s="16"/>
      <c r="N15" s="16"/>
      <c r="O15" s="16"/>
      <c r="P15" s="16"/>
      <c r="Q15" s="84"/>
    </row>
    <row r="16" spans="1:24" ht="199.8" x14ac:dyDescent="1.05">
      <c r="A16" s="19" t="s">
        <v>285</v>
      </c>
      <c r="B16" s="20" t="s">
        <v>4</v>
      </c>
      <c r="C16" s="21" t="s">
        <v>1</v>
      </c>
      <c r="D16" s="22">
        <v>105360</v>
      </c>
      <c r="E16" s="23"/>
      <c r="F16" s="23"/>
      <c r="G16" s="22">
        <f>SUM(D16:F16)</f>
        <v>105360</v>
      </c>
      <c r="H16" s="24" t="e">
        <f>VLOOKUP(A16,#REF!,5,0)</f>
        <v>#REF!</v>
      </c>
      <c r="I16" s="25" t="e">
        <f>SUM(#REF!)</f>
        <v>#REF!</v>
      </c>
      <c r="J16" s="25" t="e">
        <f>SUMIF(#REF!,'MEDIÇÃO 39'!A16,#REF!)</f>
        <v>#REF!</v>
      </c>
      <c r="K16" s="25" t="e">
        <f>I16+J16</f>
        <v>#REF!</v>
      </c>
      <c r="L16" s="25" t="e">
        <f>G16-K16</f>
        <v>#REF!</v>
      </c>
      <c r="M16" s="24" t="e">
        <f>ROUND(I16*H16,2)</f>
        <v>#REF!</v>
      </c>
      <c r="N16" s="21" t="e">
        <f>ROUND(J16*H16,2)</f>
        <v>#REF!</v>
      </c>
      <c r="O16" s="26" t="e">
        <f>ROUND(M16+N16,2)</f>
        <v>#REF!</v>
      </c>
      <c r="P16" s="26" t="e">
        <f>ROUND((G16*H16)-O16,2)</f>
        <v>#REF!</v>
      </c>
      <c r="Q16" s="85">
        <f>IFERROR(ROUND(O16/(G16*H16),2),0)</f>
        <v>0</v>
      </c>
    </row>
    <row r="17" spans="1:21" ht="133.19999999999999" x14ac:dyDescent="1.05">
      <c r="A17" s="13" t="s">
        <v>286</v>
      </c>
      <c r="B17" s="14" t="s">
        <v>5</v>
      </c>
      <c r="C17" s="27"/>
      <c r="D17" s="28"/>
      <c r="E17" s="28"/>
      <c r="F17" s="28"/>
      <c r="G17" s="28"/>
      <c r="H17" s="29"/>
      <c r="I17" s="30"/>
      <c r="J17" s="28"/>
      <c r="K17" s="28"/>
      <c r="L17" s="28"/>
      <c r="M17" s="28"/>
      <c r="N17" s="28"/>
      <c r="O17" s="31"/>
      <c r="P17" s="28"/>
      <c r="Q17" s="86"/>
    </row>
    <row r="18" spans="1:21" ht="66.599999999999994" x14ac:dyDescent="1.05">
      <c r="A18" s="19" t="s">
        <v>287</v>
      </c>
      <c r="B18" s="20" t="s">
        <v>6</v>
      </c>
      <c r="C18" s="21" t="s">
        <v>1</v>
      </c>
      <c r="D18" s="22">
        <v>25</v>
      </c>
      <c r="E18" s="22"/>
      <c r="F18" s="22"/>
      <c r="G18" s="22">
        <f t="shared" ref="G18:G80" si="0">SUM(D18:F18)</f>
        <v>25</v>
      </c>
      <c r="H18" s="24" t="e">
        <f>VLOOKUP(A18,#REF!,5,0)</f>
        <v>#REF!</v>
      </c>
      <c r="I18" s="25" t="e">
        <f>SUM(#REF!)</f>
        <v>#REF!</v>
      </c>
      <c r="J18" s="25" t="e">
        <f>SUMIF(#REF!,'MEDIÇÃO 39'!A18,#REF!)</f>
        <v>#REF!</v>
      </c>
      <c r="K18" s="25" t="e">
        <f t="shared" ref="K18:K79" si="1">I18+J18</f>
        <v>#REF!</v>
      </c>
      <c r="L18" s="25" t="e">
        <f>G18-K18</f>
        <v>#REF!</v>
      </c>
      <c r="M18" s="24" t="e">
        <f>ROUND(I18*H18,2)</f>
        <v>#REF!</v>
      </c>
      <c r="N18" s="21" t="e">
        <f>ROUND(J18*H18,2)</f>
        <v>#REF!</v>
      </c>
      <c r="O18" s="26" t="e">
        <f t="shared" ref="O18:O79" si="2">ROUND(M18+N18,2)</f>
        <v>#REF!</v>
      </c>
      <c r="P18" s="26" t="e">
        <f>ROUND((G18*H18)-O18,2)</f>
        <v>#REF!</v>
      </c>
      <c r="Q18" s="85">
        <f>IFERROR(ROUND(O18/(G18*H18),2),0)</f>
        <v>0</v>
      </c>
    </row>
    <row r="19" spans="1:21" ht="133.19999999999999" x14ac:dyDescent="1.05">
      <c r="A19" s="19" t="s">
        <v>288</v>
      </c>
      <c r="B19" s="20" t="s">
        <v>7</v>
      </c>
      <c r="C19" s="21" t="s">
        <v>1</v>
      </c>
      <c r="D19" s="22">
        <v>250</v>
      </c>
      <c r="E19" s="22"/>
      <c r="F19" s="22"/>
      <c r="G19" s="22">
        <f t="shared" si="0"/>
        <v>250</v>
      </c>
      <c r="H19" s="24" t="e">
        <f>VLOOKUP(A19,#REF!,5,0)</f>
        <v>#REF!</v>
      </c>
      <c r="I19" s="25" t="e">
        <f>SUM(#REF!)</f>
        <v>#REF!</v>
      </c>
      <c r="J19" s="25" t="e">
        <f>SUMIF(#REF!,'MEDIÇÃO 39'!A19,#REF!)</f>
        <v>#REF!</v>
      </c>
      <c r="K19" s="25" t="e">
        <f t="shared" si="1"/>
        <v>#REF!</v>
      </c>
      <c r="L19" s="25" t="e">
        <f>G19-K19</f>
        <v>#REF!</v>
      </c>
      <c r="M19" s="24" t="e">
        <f>ROUND(I19*H19,2)</f>
        <v>#REF!</v>
      </c>
      <c r="N19" s="21" t="e">
        <f>ROUND(J19*H19,2)</f>
        <v>#REF!</v>
      </c>
      <c r="O19" s="26" t="e">
        <f t="shared" si="2"/>
        <v>#REF!</v>
      </c>
      <c r="P19" s="26" t="e">
        <f>ROUND((G19*H19)-O19,2)</f>
        <v>#REF!</v>
      </c>
      <c r="Q19" s="85">
        <f>IFERROR(ROUND(O19/(G19*H19),2),0)</f>
        <v>0</v>
      </c>
    </row>
    <row r="20" spans="1:21" ht="133.19999999999999" x14ac:dyDescent="1.05">
      <c r="A20" s="19" t="s">
        <v>289</v>
      </c>
      <c r="B20" s="20" t="s">
        <v>8</v>
      </c>
      <c r="C20" s="21" t="s">
        <v>1</v>
      </c>
      <c r="D20" s="22">
        <v>1756</v>
      </c>
      <c r="E20" s="22"/>
      <c r="F20" s="22"/>
      <c r="G20" s="22">
        <f t="shared" si="0"/>
        <v>1756</v>
      </c>
      <c r="H20" s="24" t="e">
        <f>VLOOKUP(A20,#REF!,5,0)</f>
        <v>#REF!</v>
      </c>
      <c r="I20" s="25" t="e">
        <f>SUM(#REF!)</f>
        <v>#REF!</v>
      </c>
      <c r="J20" s="25" t="e">
        <f>SUMIF(#REF!,'MEDIÇÃO 39'!A20,#REF!)</f>
        <v>#REF!</v>
      </c>
      <c r="K20" s="25" t="e">
        <f t="shared" si="1"/>
        <v>#REF!</v>
      </c>
      <c r="L20" s="25" t="e">
        <f>G20-K20</f>
        <v>#REF!</v>
      </c>
      <c r="M20" s="24" t="e">
        <f>ROUND(I20*H20,2)</f>
        <v>#REF!</v>
      </c>
      <c r="N20" s="21" t="e">
        <f>ROUND(J20*H20,2)</f>
        <v>#REF!</v>
      </c>
      <c r="O20" s="26" t="e">
        <f t="shared" si="2"/>
        <v>#REF!</v>
      </c>
      <c r="P20" s="26" t="e">
        <f>ROUND((G20*H20)-O20,2)</f>
        <v>#REF!</v>
      </c>
      <c r="Q20" s="85">
        <f>IFERROR(ROUND(O20/(G20*H20),2),0)</f>
        <v>0</v>
      </c>
      <c r="U20" s="97"/>
    </row>
    <row r="21" spans="1:21" ht="66.599999999999994" x14ac:dyDescent="1.05">
      <c r="A21" s="19" t="s">
        <v>290</v>
      </c>
      <c r="B21" s="20" t="s">
        <v>9</v>
      </c>
      <c r="C21" s="21" t="s">
        <v>276</v>
      </c>
      <c r="D21" s="22">
        <v>50</v>
      </c>
      <c r="E21" s="22"/>
      <c r="F21" s="22"/>
      <c r="G21" s="22">
        <f t="shared" si="0"/>
        <v>50</v>
      </c>
      <c r="H21" s="24" t="e">
        <f>VLOOKUP(A21,#REF!,5,0)</f>
        <v>#REF!</v>
      </c>
      <c r="I21" s="25" t="e">
        <f>SUM(#REF!)</f>
        <v>#REF!</v>
      </c>
      <c r="J21" s="25" t="e">
        <f>SUMIF(#REF!,'MEDIÇÃO 39'!A21,#REF!)</f>
        <v>#REF!</v>
      </c>
      <c r="K21" s="25" t="e">
        <f t="shared" si="1"/>
        <v>#REF!</v>
      </c>
      <c r="L21" s="25" t="e">
        <f>G21-K21</f>
        <v>#REF!</v>
      </c>
      <c r="M21" s="24" t="e">
        <f>ROUND(I21*H21,2)</f>
        <v>#REF!</v>
      </c>
      <c r="N21" s="21" t="e">
        <f>ROUND(J21*H21,2)</f>
        <v>#REF!</v>
      </c>
      <c r="O21" s="26" t="e">
        <f t="shared" si="2"/>
        <v>#REF!</v>
      </c>
      <c r="P21" s="26" t="e">
        <f>ROUND((G21*H21)-O21,2)</f>
        <v>#REF!</v>
      </c>
      <c r="Q21" s="85">
        <f>IFERROR(ROUND(O21/(G21*H21),2),0)</f>
        <v>0</v>
      </c>
    </row>
    <row r="22" spans="1:21" ht="133.19999999999999" x14ac:dyDescent="1.05">
      <c r="A22" s="19" t="s">
        <v>291</v>
      </c>
      <c r="B22" s="20" t="s">
        <v>10</v>
      </c>
      <c r="C22" s="21" t="s">
        <v>1</v>
      </c>
      <c r="D22" s="22">
        <v>585</v>
      </c>
      <c r="E22" s="22"/>
      <c r="F22" s="22"/>
      <c r="G22" s="22">
        <f t="shared" si="0"/>
        <v>585</v>
      </c>
      <c r="H22" s="24" t="e">
        <f>VLOOKUP(A22,#REF!,5,0)</f>
        <v>#REF!</v>
      </c>
      <c r="I22" s="25" t="e">
        <f>SUM(#REF!)</f>
        <v>#REF!</v>
      </c>
      <c r="J22" s="25" t="e">
        <f>SUMIF(#REF!,'MEDIÇÃO 39'!A22,#REF!)</f>
        <v>#REF!</v>
      </c>
      <c r="K22" s="25" t="e">
        <f t="shared" si="1"/>
        <v>#REF!</v>
      </c>
      <c r="L22" s="25" t="e">
        <f>G22-K22</f>
        <v>#REF!</v>
      </c>
      <c r="M22" s="24" t="e">
        <f>ROUND(I22*H22,2)</f>
        <v>#REF!</v>
      </c>
      <c r="N22" s="21" t="e">
        <f>ROUND(J22*H22,2)</f>
        <v>#REF!</v>
      </c>
      <c r="O22" s="26" t="e">
        <f t="shared" si="2"/>
        <v>#REF!</v>
      </c>
      <c r="P22" s="26" t="e">
        <f>ROUND((G22*H22)-O22,2)</f>
        <v>#REF!</v>
      </c>
      <c r="Q22" s="85">
        <f>IFERROR(ROUND(O22/(G22*H22),2),0)</f>
        <v>0</v>
      </c>
    </row>
    <row r="23" spans="1:21" ht="66.599999999999994" x14ac:dyDescent="1.05">
      <c r="A23" s="19" t="s">
        <v>292</v>
      </c>
      <c r="B23" s="20" t="s">
        <v>11</v>
      </c>
      <c r="C23" s="21" t="s">
        <v>1</v>
      </c>
      <c r="D23" s="22">
        <v>5</v>
      </c>
      <c r="E23" s="22"/>
      <c r="F23" s="22"/>
      <c r="G23" s="22">
        <f t="shared" si="0"/>
        <v>5</v>
      </c>
      <c r="H23" s="24" t="e">
        <f>VLOOKUP(A23,#REF!,5,0)</f>
        <v>#REF!</v>
      </c>
      <c r="I23" s="25" t="e">
        <f>SUM(#REF!)</f>
        <v>#REF!</v>
      </c>
      <c r="J23" s="25" t="e">
        <f>SUMIF(#REF!,'MEDIÇÃO 39'!A23,#REF!)</f>
        <v>#REF!</v>
      </c>
      <c r="K23" s="25" t="e">
        <f t="shared" si="1"/>
        <v>#REF!</v>
      </c>
      <c r="L23" s="25" t="e">
        <f>G23-K23</f>
        <v>#REF!</v>
      </c>
      <c r="M23" s="24" t="e">
        <f>ROUND(I23*H23,2)</f>
        <v>#REF!</v>
      </c>
      <c r="N23" s="21" t="e">
        <f>ROUND(J23*H23,2)</f>
        <v>#REF!</v>
      </c>
      <c r="O23" s="26" t="e">
        <f t="shared" si="2"/>
        <v>#REF!</v>
      </c>
      <c r="P23" s="26" t="e">
        <f>ROUND((G23*H23)-O23,2)</f>
        <v>#REF!</v>
      </c>
      <c r="Q23" s="85">
        <f>IFERROR(ROUND(O23/(G23*H23),2),0)</f>
        <v>0</v>
      </c>
    </row>
    <row r="24" spans="1:21" ht="133.19999999999999" x14ac:dyDescent="1.05">
      <c r="A24" s="19" t="s">
        <v>293</v>
      </c>
      <c r="B24" s="20" t="s">
        <v>12</v>
      </c>
      <c r="C24" s="21" t="s">
        <v>1</v>
      </c>
      <c r="D24" s="22">
        <v>100</v>
      </c>
      <c r="E24" s="22"/>
      <c r="F24" s="22"/>
      <c r="G24" s="22">
        <f t="shared" si="0"/>
        <v>100</v>
      </c>
      <c r="H24" s="24" t="e">
        <f>VLOOKUP(A24,#REF!,5,0)</f>
        <v>#REF!</v>
      </c>
      <c r="I24" s="25" t="e">
        <f>SUM(#REF!)</f>
        <v>#REF!</v>
      </c>
      <c r="J24" s="25" t="e">
        <f>SUMIF(#REF!,'MEDIÇÃO 39'!A24,#REF!)</f>
        <v>#REF!</v>
      </c>
      <c r="K24" s="25" t="e">
        <f t="shared" si="1"/>
        <v>#REF!</v>
      </c>
      <c r="L24" s="25" t="e">
        <f>G24-K24</f>
        <v>#REF!</v>
      </c>
      <c r="M24" s="24" t="e">
        <f>ROUND(I24*H24,2)</f>
        <v>#REF!</v>
      </c>
      <c r="N24" s="21" t="e">
        <f>ROUND(J24*H24,2)</f>
        <v>#REF!</v>
      </c>
      <c r="O24" s="26" t="e">
        <f t="shared" si="2"/>
        <v>#REF!</v>
      </c>
      <c r="P24" s="26" t="e">
        <f>ROUND((G24*H24)-O24,2)</f>
        <v>#REF!</v>
      </c>
      <c r="Q24" s="85">
        <f>IFERROR(ROUND(O24/(G24*H24),2),0)</f>
        <v>0</v>
      </c>
    </row>
    <row r="25" spans="1:21" ht="133.19999999999999" x14ac:dyDescent="1.05">
      <c r="A25" s="19" t="s">
        <v>294</v>
      </c>
      <c r="B25" s="20" t="s">
        <v>13</v>
      </c>
      <c r="C25" s="21" t="s">
        <v>1</v>
      </c>
      <c r="D25" s="22">
        <v>25</v>
      </c>
      <c r="E25" s="22">
        <v>20</v>
      </c>
      <c r="F25" s="22"/>
      <c r="G25" s="22">
        <f t="shared" si="0"/>
        <v>45</v>
      </c>
      <c r="H25" s="24" t="e">
        <f>VLOOKUP(A25,#REF!,5,0)</f>
        <v>#REF!</v>
      </c>
      <c r="I25" s="25" t="e">
        <f>SUM(#REF!)</f>
        <v>#REF!</v>
      </c>
      <c r="J25" s="25" t="e">
        <f>SUMIF(#REF!,'MEDIÇÃO 39'!A25,#REF!)</f>
        <v>#REF!</v>
      </c>
      <c r="K25" s="25" t="e">
        <f t="shared" si="1"/>
        <v>#REF!</v>
      </c>
      <c r="L25" s="25" t="e">
        <f>G25-K25</f>
        <v>#REF!</v>
      </c>
      <c r="M25" s="24" t="e">
        <f>ROUND(I25*H25,2)</f>
        <v>#REF!</v>
      </c>
      <c r="N25" s="21" t="e">
        <f>ROUND(J25*H25,2)</f>
        <v>#REF!</v>
      </c>
      <c r="O25" s="26" t="e">
        <f t="shared" si="2"/>
        <v>#REF!</v>
      </c>
      <c r="P25" s="26" t="e">
        <f>ROUND((G25*H25)-O25,2)</f>
        <v>#REF!</v>
      </c>
      <c r="Q25" s="85">
        <f>IFERROR(ROUND(O25/(G25*H25),2),0)</f>
        <v>0</v>
      </c>
    </row>
    <row r="26" spans="1:21" ht="66.599999999999994" x14ac:dyDescent="1.05">
      <c r="A26" s="19" t="s">
        <v>295</v>
      </c>
      <c r="B26" s="20" t="s">
        <v>14</v>
      </c>
      <c r="C26" s="21" t="s">
        <v>1</v>
      </c>
      <c r="D26" s="22">
        <v>25</v>
      </c>
      <c r="E26" s="22"/>
      <c r="F26" s="22"/>
      <c r="G26" s="22">
        <f t="shared" si="0"/>
        <v>25</v>
      </c>
      <c r="H26" s="24" t="e">
        <f>VLOOKUP(A26,#REF!,5,0)</f>
        <v>#REF!</v>
      </c>
      <c r="I26" s="25" t="e">
        <f>SUM(#REF!)</f>
        <v>#REF!</v>
      </c>
      <c r="J26" s="25" t="e">
        <f>SUMIF(#REF!,'MEDIÇÃO 39'!A26,#REF!)</f>
        <v>#REF!</v>
      </c>
      <c r="K26" s="25" t="e">
        <f t="shared" si="1"/>
        <v>#REF!</v>
      </c>
      <c r="L26" s="25" t="e">
        <f>G26-K26</f>
        <v>#REF!</v>
      </c>
      <c r="M26" s="24" t="e">
        <f>ROUND(I26*H26,2)</f>
        <v>#REF!</v>
      </c>
      <c r="N26" s="21" t="e">
        <f>ROUND(J26*H26,2)</f>
        <v>#REF!</v>
      </c>
      <c r="O26" s="26" t="e">
        <f t="shared" si="2"/>
        <v>#REF!</v>
      </c>
      <c r="P26" s="26" t="e">
        <f>ROUND((G26*H26)-O26,2)</f>
        <v>#REF!</v>
      </c>
      <c r="Q26" s="85">
        <f>IFERROR(ROUND(O26/(G26*H26),2),0)</f>
        <v>0</v>
      </c>
    </row>
    <row r="27" spans="1:21" ht="133.19999999999999" x14ac:dyDescent="1.05">
      <c r="A27" s="19" t="s">
        <v>296</v>
      </c>
      <c r="B27" s="20" t="s">
        <v>15</v>
      </c>
      <c r="C27" s="21" t="s">
        <v>1</v>
      </c>
      <c r="D27" s="22">
        <v>1756</v>
      </c>
      <c r="E27" s="22"/>
      <c r="F27" s="22"/>
      <c r="G27" s="22">
        <f t="shared" si="0"/>
        <v>1756</v>
      </c>
      <c r="H27" s="24" t="e">
        <f>VLOOKUP(A27,#REF!,5,0)</f>
        <v>#REF!</v>
      </c>
      <c r="I27" s="25" t="e">
        <f>SUM(#REF!)</f>
        <v>#REF!</v>
      </c>
      <c r="J27" s="25" t="e">
        <f>SUMIF(#REF!,'MEDIÇÃO 39'!A27,#REF!)</f>
        <v>#REF!</v>
      </c>
      <c r="K27" s="25" t="e">
        <f t="shared" si="1"/>
        <v>#REF!</v>
      </c>
      <c r="L27" s="25" t="e">
        <f>G27-K27</f>
        <v>#REF!</v>
      </c>
      <c r="M27" s="24" t="e">
        <f>ROUND(I27*H27,2)</f>
        <v>#REF!</v>
      </c>
      <c r="N27" s="21" t="e">
        <f>ROUND(J27*H27,2)</f>
        <v>#REF!</v>
      </c>
      <c r="O27" s="26" t="e">
        <f t="shared" si="2"/>
        <v>#REF!</v>
      </c>
      <c r="P27" s="26" t="e">
        <f>ROUND((G27*H27)-O27,2)</f>
        <v>#REF!</v>
      </c>
      <c r="Q27" s="85">
        <f>IFERROR(ROUND(O27/(G27*H27),2),0)</f>
        <v>0</v>
      </c>
    </row>
    <row r="28" spans="1:21" ht="66.599999999999994" x14ac:dyDescent="1.05">
      <c r="A28" s="19" t="s">
        <v>297</v>
      </c>
      <c r="B28" s="20" t="s">
        <v>16</v>
      </c>
      <c r="C28" s="21" t="s">
        <v>276</v>
      </c>
      <c r="D28" s="22">
        <v>1000</v>
      </c>
      <c r="E28" s="22"/>
      <c r="F28" s="22"/>
      <c r="G28" s="22">
        <f t="shared" si="0"/>
        <v>1000</v>
      </c>
      <c r="H28" s="24" t="e">
        <f>VLOOKUP(A28,#REF!,5,0)</f>
        <v>#REF!</v>
      </c>
      <c r="I28" s="25" t="e">
        <f>SUM(#REF!)</f>
        <v>#REF!</v>
      </c>
      <c r="J28" s="25" t="e">
        <f>SUMIF(#REF!,'MEDIÇÃO 39'!A28,#REF!)</f>
        <v>#REF!</v>
      </c>
      <c r="K28" s="25" t="e">
        <f t="shared" si="1"/>
        <v>#REF!</v>
      </c>
      <c r="L28" s="25" t="e">
        <f>G28-K28</f>
        <v>#REF!</v>
      </c>
      <c r="M28" s="24" t="e">
        <f>ROUND(I28*H28,2)</f>
        <v>#REF!</v>
      </c>
      <c r="N28" s="21" t="e">
        <f>ROUND(J28*H28,2)</f>
        <v>#REF!</v>
      </c>
      <c r="O28" s="26" t="e">
        <f t="shared" si="2"/>
        <v>#REF!</v>
      </c>
      <c r="P28" s="26" t="e">
        <f>ROUND((G28*H28)-O28,2)</f>
        <v>#REF!</v>
      </c>
      <c r="Q28" s="85">
        <f>IFERROR(ROUND(O28/(G28*H28),2),0)</f>
        <v>0</v>
      </c>
    </row>
    <row r="29" spans="1:21" ht="133.19999999999999" x14ac:dyDescent="1.05">
      <c r="A29" s="19" t="s">
        <v>298</v>
      </c>
      <c r="B29" s="20" t="s">
        <v>17</v>
      </c>
      <c r="C29" s="21" t="s">
        <v>1</v>
      </c>
      <c r="D29" s="22">
        <v>100</v>
      </c>
      <c r="E29" s="22"/>
      <c r="F29" s="22"/>
      <c r="G29" s="22">
        <f t="shared" si="0"/>
        <v>100</v>
      </c>
      <c r="H29" s="24" t="e">
        <f>VLOOKUP(A29,#REF!,5,0)</f>
        <v>#REF!</v>
      </c>
      <c r="I29" s="25" t="e">
        <f>SUM(#REF!)</f>
        <v>#REF!</v>
      </c>
      <c r="J29" s="25" t="e">
        <f>SUMIF(#REF!,'MEDIÇÃO 39'!A29,#REF!)</f>
        <v>#REF!</v>
      </c>
      <c r="K29" s="25" t="e">
        <f t="shared" si="1"/>
        <v>#REF!</v>
      </c>
      <c r="L29" s="25" t="e">
        <f>G29-K29</f>
        <v>#REF!</v>
      </c>
      <c r="M29" s="24" t="e">
        <f>ROUND(I29*H29,2)</f>
        <v>#REF!</v>
      </c>
      <c r="N29" s="21" t="e">
        <f>ROUND(J29*H29,2)</f>
        <v>#REF!</v>
      </c>
      <c r="O29" s="26" t="e">
        <f t="shared" si="2"/>
        <v>#REF!</v>
      </c>
      <c r="P29" s="26" t="e">
        <f>ROUND((G29*H29)-O29,2)</f>
        <v>#REF!</v>
      </c>
      <c r="Q29" s="85">
        <f>IFERROR(ROUND(O29/(G29*H29),2),0)</f>
        <v>0</v>
      </c>
    </row>
    <row r="30" spans="1:21" ht="133.19999999999999" x14ac:dyDescent="1.05">
      <c r="A30" s="19" t="s">
        <v>299</v>
      </c>
      <c r="B30" s="20" t="s">
        <v>18</v>
      </c>
      <c r="C30" s="21" t="s">
        <v>1</v>
      </c>
      <c r="D30" s="22">
        <v>25</v>
      </c>
      <c r="E30" s="22"/>
      <c r="F30" s="22"/>
      <c r="G30" s="22">
        <f t="shared" si="0"/>
        <v>25</v>
      </c>
      <c r="H30" s="24" t="e">
        <f>VLOOKUP(A30,#REF!,5,0)</f>
        <v>#REF!</v>
      </c>
      <c r="I30" s="25" t="e">
        <f>SUM(#REF!)</f>
        <v>#REF!</v>
      </c>
      <c r="J30" s="25" t="e">
        <f>SUMIF(#REF!,'MEDIÇÃO 39'!A30,#REF!)</f>
        <v>#REF!</v>
      </c>
      <c r="K30" s="25" t="e">
        <f t="shared" si="1"/>
        <v>#REF!</v>
      </c>
      <c r="L30" s="25" t="e">
        <f>G30-K30</f>
        <v>#REF!</v>
      </c>
      <c r="M30" s="24" t="e">
        <f>ROUND(I30*H30,2)</f>
        <v>#REF!</v>
      </c>
      <c r="N30" s="21" t="e">
        <f>ROUND(J30*H30,2)</f>
        <v>#REF!</v>
      </c>
      <c r="O30" s="26" t="e">
        <f t="shared" si="2"/>
        <v>#REF!</v>
      </c>
      <c r="P30" s="26" t="e">
        <f>ROUND((G30*H30)-O30,2)</f>
        <v>#REF!</v>
      </c>
      <c r="Q30" s="85">
        <f>IFERROR(ROUND(O30/(G30*H30),2),0)</f>
        <v>0</v>
      </c>
    </row>
    <row r="31" spans="1:21" ht="133.19999999999999" x14ac:dyDescent="1.05">
      <c r="A31" s="19" t="s">
        <v>300</v>
      </c>
      <c r="B31" s="20" t="s">
        <v>19</v>
      </c>
      <c r="C31" s="21" t="s">
        <v>1</v>
      </c>
      <c r="D31" s="22">
        <v>25</v>
      </c>
      <c r="E31" s="22">
        <v>50</v>
      </c>
      <c r="F31" s="22"/>
      <c r="G31" s="22">
        <f t="shared" si="0"/>
        <v>75</v>
      </c>
      <c r="H31" s="24" t="e">
        <f>VLOOKUP(A31,#REF!,5,0)</f>
        <v>#REF!</v>
      </c>
      <c r="I31" s="25" t="e">
        <f>SUM(#REF!)</f>
        <v>#REF!</v>
      </c>
      <c r="J31" s="25" t="e">
        <f>SUMIF(#REF!,'MEDIÇÃO 39'!A31,#REF!)</f>
        <v>#REF!</v>
      </c>
      <c r="K31" s="25" t="e">
        <f t="shared" si="1"/>
        <v>#REF!</v>
      </c>
      <c r="L31" s="25" t="e">
        <f>G31-K31</f>
        <v>#REF!</v>
      </c>
      <c r="M31" s="24" t="e">
        <f>ROUND(I31*H31,2)</f>
        <v>#REF!</v>
      </c>
      <c r="N31" s="21" t="e">
        <f>ROUND(J31*H31,2)</f>
        <v>#REF!</v>
      </c>
      <c r="O31" s="26" t="e">
        <f t="shared" si="2"/>
        <v>#REF!</v>
      </c>
      <c r="P31" s="26" t="e">
        <f>ROUND((G31*H31)-O31,2)</f>
        <v>#REF!</v>
      </c>
      <c r="Q31" s="85">
        <f>IFERROR(ROUND(O31/(G31*H31),2),0)</f>
        <v>0</v>
      </c>
    </row>
    <row r="32" spans="1:21" ht="133.19999999999999" x14ac:dyDescent="1.05">
      <c r="A32" s="19" t="s">
        <v>301</v>
      </c>
      <c r="B32" s="20" t="s">
        <v>20</v>
      </c>
      <c r="C32" s="21" t="s">
        <v>276</v>
      </c>
      <c r="D32" s="22">
        <v>250</v>
      </c>
      <c r="E32" s="22">
        <v>5000</v>
      </c>
      <c r="F32" s="22"/>
      <c r="G32" s="22">
        <f t="shared" si="0"/>
        <v>5250</v>
      </c>
      <c r="H32" s="24" t="e">
        <f>VLOOKUP(A32,#REF!,5,0)</f>
        <v>#REF!</v>
      </c>
      <c r="I32" s="25" t="e">
        <f>SUM(#REF!)</f>
        <v>#REF!</v>
      </c>
      <c r="J32" s="25" t="e">
        <f>SUMIF(#REF!,'MEDIÇÃO 39'!A32,#REF!)</f>
        <v>#REF!</v>
      </c>
      <c r="K32" s="25" t="e">
        <f t="shared" si="1"/>
        <v>#REF!</v>
      </c>
      <c r="L32" s="25" t="e">
        <f>G32-K32</f>
        <v>#REF!</v>
      </c>
      <c r="M32" s="24" t="e">
        <f>ROUND(I32*H32,2)</f>
        <v>#REF!</v>
      </c>
      <c r="N32" s="21" t="e">
        <f>ROUND(J32*H32,2)</f>
        <v>#REF!</v>
      </c>
      <c r="O32" s="26" t="e">
        <f t="shared" si="2"/>
        <v>#REF!</v>
      </c>
      <c r="P32" s="26" t="e">
        <f>ROUND((G32*H32)-O32,2)</f>
        <v>#REF!</v>
      </c>
      <c r="Q32" s="85">
        <f>IFERROR(ROUND(O32/(G32*H32),2),0)</f>
        <v>0</v>
      </c>
    </row>
    <row r="33" spans="1:21" ht="199.8" x14ac:dyDescent="1.05">
      <c r="A33" s="19" t="s">
        <v>302</v>
      </c>
      <c r="B33" s="20" t="s">
        <v>21</v>
      </c>
      <c r="C33" s="21" t="s">
        <v>276</v>
      </c>
      <c r="D33" s="22">
        <v>250</v>
      </c>
      <c r="E33" s="22">
        <v>1000</v>
      </c>
      <c r="F33" s="22"/>
      <c r="G33" s="22">
        <f t="shared" si="0"/>
        <v>1250</v>
      </c>
      <c r="H33" s="24" t="e">
        <f>VLOOKUP(A33,#REF!,5,0)</f>
        <v>#REF!</v>
      </c>
      <c r="I33" s="25" t="e">
        <f>SUM(#REF!)</f>
        <v>#REF!</v>
      </c>
      <c r="J33" s="25" t="e">
        <f>SUMIF(#REF!,'MEDIÇÃO 39'!A33,#REF!)</f>
        <v>#REF!</v>
      </c>
      <c r="K33" s="25" t="e">
        <f t="shared" si="1"/>
        <v>#REF!</v>
      </c>
      <c r="L33" s="25" t="e">
        <f>G33-K33</f>
        <v>#REF!</v>
      </c>
      <c r="M33" s="24" t="e">
        <f>ROUND(I33*H33,2)</f>
        <v>#REF!</v>
      </c>
      <c r="N33" s="21" t="e">
        <f>ROUND(J33*H33,2)</f>
        <v>#REF!</v>
      </c>
      <c r="O33" s="26" t="e">
        <f t="shared" si="2"/>
        <v>#REF!</v>
      </c>
      <c r="P33" s="26" t="e">
        <f>ROUND((G33*H33)-O33,2)</f>
        <v>#REF!</v>
      </c>
      <c r="Q33" s="85">
        <f>IFERROR(ROUND(O33/(G33*H33),2),0)</f>
        <v>0</v>
      </c>
    </row>
    <row r="34" spans="1:21" ht="133.19999999999999" x14ac:dyDescent="1.05">
      <c r="A34" s="19" t="s">
        <v>303</v>
      </c>
      <c r="B34" s="20" t="s">
        <v>22</v>
      </c>
      <c r="C34" s="21" t="s">
        <v>276</v>
      </c>
      <c r="D34" s="22">
        <v>20</v>
      </c>
      <c r="E34" s="22"/>
      <c r="F34" s="22">
        <v>3300</v>
      </c>
      <c r="G34" s="22">
        <f t="shared" si="0"/>
        <v>3320</v>
      </c>
      <c r="H34" s="24" t="e">
        <f>VLOOKUP(A34,#REF!,5,0)</f>
        <v>#REF!</v>
      </c>
      <c r="I34" s="25" t="e">
        <f>SUM(#REF!)</f>
        <v>#REF!</v>
      </c>
      <c r="J34" s="25" t="e">
        <f>SUMIF(#REF!,'MEDIÇÃO 39'!A34,#REF!)</f>
        <v>#REF!</v>
      </c>
      <c r="K34" s="25" t="e">
        <f t="shared" si="1"/>
        <v>#REF!</v>
      </c>
      <c r="L34" s="25" t="e">
        <f>G34-K34</f>
        <v>#REF!</v>
      </c>
      <c r="M34" s="24" t="e">
        <f>ROUND(I34*H34,2)</f>
        <v>#REF!</v>
      </c>
      <c r="N34" s="21" t="e">
        <f>ROUND(J34*H34,2)</f>
        <v>#REF!</v>
      </c>
      <c r="O34" s="26" t="e">
        <f t="shared" si="2"/>
        <v>#REF!</v>
      </c>
      <c r="P34" s="26" t="e">
        <f>ROUND((G34*H34)-O34,2)</f>
        <v>#REF!</v>
      </c>
      <c r="Q34" s="85">
        <f>IFERROR(ROUND(O34/(G34*H34),2),0)</f>
        <v>0</v>
      </c>
      <c r="U34" s="95"/>
    </row>
    <row r="35" spans="1:21" ht="66.599999999999994" x14ac:dyDescent="1.05">
      <c r="A35" s="19" t="s">
        <v>304</v>
      </c>
      <c r="B35" s="20" t="s">
        <v>23</v>
      </c>
      <c r="C35" s="21" t="s">
        <v>1</v>
      </c>
      <c r="D35" s="22">
        <v>65</v>
      </c>
      <c r="E35" s="22"/>
      <c r="F35" s="22"/>
      <c r="G35" s="22">
        <f t="shared" si="0"/>
        <v>65</v>
      </c>
      <c r="H35" s="24" t="e">
        <f>VLOOKUP(A35,#REF!,5,0)</f>
        <v>#REF!</v>
      </c>
      <c r="I35" s="25" t="e">
        <f>SUM(#REF!)</f>
        <v>#REF!</v>
      </c>
      <c r="J35" s="25" t="e">
        <f>SUMIF(#REF!,'MEDIÇÃO 39'!A35,#REF!)</f>
        <v>#REF!</v>
      </c>
      <c r="K35" s="25" t="e">
        <f t="shared" si="1"/>
        <v>#REF!</v>
      </c>
      <c r="L35" s="25" t="e">
        <f>G35-K35</f>
        <v>#REF!</v>
      </c>
      <c r="M35" s="24" t="e">
        <f>ROUND(I35*H35,2)</f>
        <v>#REF!</v>
      </c>
      <c r="N35" s="21" t="e">
        <f>ROUND(J35*H35,2)</f>
        <v>#REF!</v>
      </c>
      <c r="O35" s="26" t="e">
        <f t="shared" si="2"/>
        <v>#REF!</v>
      </c>
      <c r="P35" s="26" t="e">
        <f>ROUND((G35*H35)-O35,2)</f>
        <v>#REF!</v>
      </c>
      <c r="Q35" s="85">
        <f>IFERROR(ROUND(O35/(G35*H35),2),0)</f>
        <v>0</v>
      </c>
    </row>
    <row r="36" spans="1:21" ht="133.19999999999999" x14ac:dyDescent="1.05">
      <c r="A36" s="19" t="s">
        <v>305</v>
      </c>
      <c r="B36" s="20" t="s">
        <v>24</v>
      </c>
      <c r="C36" s="21" t="s">
        <v>1</v>
      </c>
      <c r="D36" s="22">
        <v>5</v>
      </c>
      <c r="E36" s="22"/>
      <c r="F36" s="22"/>
      <c r="G36" s="22">
        <f t="shared" si="0"/>
        <v>5</v>
      </c>
      <c r="H36" s="24" t="e">
        <f>VLOOKUP(A36,#REF!,5,0)</f>
        <v>#REF!</v>
      </c>
      <c r="I36" s="25" t="e">
        <f>SUM(#REF!)</f>
        <v>#REF!</v>
      </c>
      <c r="J36" s="25" t="e">
        <f>SUMIF(#REF!,'MEDIÇÃO 39'!A36,#REF!)</f>
        <v>#REF!</v>
      </c>
      <c r="K36" s="25" t="e">
        <f t="shared" si="1"/>
        <v>#REF!</v>
      </c>
      <c r="L36" s="25" t="e">
        <f>G36-K36</f>
        <v>#REF!</v>
      </c>
      <c r="M36" s="24" t="e">
        <f>ROUND(I36*H36,2)</f>
        <v>#REF!</v>
      </c>
      <c r="N36" s="21" t="e">
        <f>ROUND(J36*H36,2)</f>
        <v>#REF!</v>
      </c>
      <c r="O36" s="26" t="e">
        <f t="shared" si="2"/>
        <v>#REF!</v>
      </c>
      <c r="P36" s="26" t="e">
        <f>ROUND((G36*H36)-O36,2)</f>
        <v>#REF!</v>
      </c>
      <c r="Q36" s="85">
        <f>IFERROR(ROUND(O36/(G36*H36),2),0)</f>
        <v>0</v>
      </c>
    </row>
    <row r="37" spans="1:21" ht="66.599999999999994" x14ac:dyDescent="1.05">
      <c r="A37" s="19" t="s">
        <v>306</v>
      </c>
      <c r="B37" s="20" t="s">
        <v>25</v>
      </c>
      <c r="C37" s="21" t="s">
        <v>1</v>
      </c>
      <c r="D37" s="22">
        <v>2</v>
      </c>
      <c r="E37" s="22"/>
      <c r="F37" s="22"/>
      <c r="G37" s="22">
        <f t="shared" si="0"/>
        <v>2</v>
      </c>
      <c r="H37" s="24" t="e">
        <f>VLOOKUP(A37,#REF!,5,0)</f>
        <v>#REF!</v>
      </c>
      <c r="I37" s="25" t="e">
        <f>SUM(#REF!)</f>
        <v>#REF!</v>
      </c>
      <c r="J37" s="25" t="e">
        <f>SUMIF(#REF!,'MEDIÇÃO 39'!A37,#REF!)</f>
        <v>#REF!</v>
      </c>
      <c r="K37" s="25" t="e">
        <f t="shared" si="1"/>
        <v>#REF!</v>
      </c>
      <c r="L37" s="25" t="e">
        <f>G37-K37</f>
        <v>#REF!</v>
      </c>
      <c r="M37" s="24" t="e">
        <f>ROUND(I37*H37,2)</f>
        <v>#REF!</v>
      </c>
      <c r="N37" s="21" t="e">
        <f>ROUND(J37*H37,2)</f>
        <v>#REF!</v>
      </c>
      <c r="O37" s="26" t="e">
        <f t="shared" si="2"/>
        <v>#REF!</v>
      </c>
      <c r="P37" s="26" t="e">
        <f>ROUND((G37*H37)-O37,2)</f>
        <v>#REF!</v>
      </c>
      <c r="Q37" s="85">
        <f>IFERROR(ROUND(O37/(G37*H37),2),0)</f>
        <v>0</v>
      </c>
    </row>
    <row r="38" spans="1:21" ht="133.19999999999999" x14ac:dyDescent="1.05">
      <c r="A38" s="19" t="s">
        <v>307</v>
      </c>
      <c r="B38" s="20" t="s">
        <v>26</v>
      </c>
      <c r="C38" s="21" t="s">
        <v>276</v>
      </c>
      <c r="D38" s="22">
        <v>32.5</v>
      </c>
      <c r="E38" s="22"/>
      <c r="F38" s="22"/>
      <c r="G38" s="22">
        <f t="shared" si="0"/>
        <v>32.5</v>
      </c>
      <c r="H38" s="24" t="e">
        <f>VLOOKUP(A38,#REF!,5,0)</f>
        <v>#REF!</v>
      </c>
      <c r="I38" s="25" t="e">
        <f>SUM(#REF!)</f>
        <v>#REF!</v>
      </c>
      <c r="J38" s="25" t="e">
        <f>SUMIF(#REF!,'MEDIÇÃO 39'!A38,#REF!)</f>
        <v>#REF!</v>
      </c>
      <c r="K38" s="25" t="e">
        <f t="shared" si="1"/>
        <v>#REF!</v>
      </c>
      <c r="L38" s="25" t="e">
        <f>G38-K38</f>
        <v>#REF!</v>
      </c>
      <c r="M38" s="24" t="e">
        <f>ROUND(I38*H38,2)</f>
        <v>#REF!</v>
      </c>
      <c r="N38" s="21" t="e">
        <f>ROUND(J38*H38,2)</f>
        <v>#REF!</v>
      </c>
      <c r="O38" s="26" t="e">
        <f t="shared" si="2"/>
        <v>#REF!</v>
      </c>
      <c r="P38" s="26" t="e">
        <f>ROUND((G38*H38)-O38,2)</f>
        <v>#REF!</v>
      </c>
      <c r="Q38" s="85">
        <f>IFERROR(ROUND(O38/(G38*H38),2),0)</f>
        <v>0</v>
      </c>
    </row>
    <row r="39" spans="1:21" ht="66.599999999999994" x14ac:dyDescent="1.05">
      <c r="A39" s="19" t="s">
        <v>308</v>
      </c>
      <c r="B39" s="20" t="s">
        <v>27</v>
      </c>
      <c r="C39" s="21" t="s">
        <v>277</v>
      </c>
      <c r="D39" s="22">
        <v>3.5</v>
      </c>
      <c r="E39" s="22"/>
      <c r="F39" s="22"/>
      <c r="G39" s="22">
        <f t="shared" si="0"/>
        <v>3.5</v>
      </c>
      <c r="H39" s="24" t="e">
        <f>VLOOKUP(A39,#REF!,5,0)</f>
        <v>#REF!</v>
      </c>
      <c r="I39" s="25" t="e">
        <f>SUM(#REF!)</f>
        <v>#REF!</v>
      </c>
      <c r="J39" s="25" t="e">
        <f>SUMIF(#REF!,'MEDIÇÃO 39'!A39,#REF!)</f>
        <v>#REF!</v>
      </c>
      <c r="K39" s="25" t="e">
        <f t="shared" si="1"/>
        <v>#REF!</v>
      </c>
      <c r="L39" s="25" t="e">
        <f>G39-K39</f>
        <v>#REF!</v>
      </c>
      <c r="M39" s="24" t="e">
        <f>ROUND(I39*H39,2)</f>
        <v>#REF!</v>
      </c>
      <c r="N39" s="21" t="e">
        <f>ROUND(J39*H39,2)</f>
        <v>#REF!</v>
      </c>
      <c r="O39" s="26" t="e">
        <f t="shared" si="2"/>
        <v>#REF!</v>
      </c>
      <c r="P39" s="26" t="e">
        <f>ROUND((G39*H39)-O39,2)</f>
        <v>#REF!</v>
      </c>
      <c r="Q39" s="85">
        <f>IFERROR(ROUND(O39/(G39*H39),2),0)</f>
        <v>0</v>
      </c>
    </row>
    <row r="40" spans="1:21" ht="133.19999999999999" x14ac:dyDescent="1.05">
      <c r="A40" s="19" t="s">
        <v>309</v>
      </c>
      <c r="B40" s="20" t="s">
        <v>28</v>
      </c>
      <c r="C40" s="21" t="s">
        <v>1</v>
      </c>
      <c r="D40" s="22">
        <v>659</v>
      </c>
      <c r="E40" s="22">
        <v>75</v>
      </c>
      <c r="F40" s="22">
        <v>300</v>
      </c>
      <c r="G40" s="22">
        <f t="shared" si="0"/>
        <v>1034</v>
      </c>
      <c r="H40" s="24" t="e">
        <f>VLOOKUP(A40,#REF!,5,0)</f>
        <v>#REF!</v>
      </c>
      <c r="I40" s="25" t="e">
        <f>SUM(#REF!)</f>
        <v>#REF!</v>
      </c>
      <c r="J40" s="25" t="e">
        <f>SUMIF(#REF!,'MEDIÇÃO 39'!A40,#REF!)</f>
        <v>#REF!</v>
      </c>
      <c r="K40" s="25" t="e">
        <f t="shared" si="1"/>
        <v>#REF!</v>
      </c>
      <c r="L40" s="25" t="e">
        <f>G40-K40</f>
        <v>#REF!</v>
      </c>
      <c r="M40" s="24" t="e">
        <f>ROUND(I40*H40,2)</f>
        <v>#REF!</v>
      </c>
      <c r="N40" s="21" t="e">
        <f>ROUND(J40*H40,2)</f>
        <v>#REF!</v>
      </c>
      <c r="O40" s="26" t="e">
        <f t="shared" si="2"/>
        <v>#REF!</v>
      </c>
      <c r="P40" s="26" t="e">
        <f>ROUND((G40*H40)-O40,2)</f>
        <v>#REF!</v>
      </c>
      <c r="Q40" s="85">
        <f>IFERROR(ROUND(O40/(G40*H40),2),0)</f>
        <v>0</v>
      </c>
      <c r="U40" s="95"/>
    </row>
    <row r="41" spans="1:21" ht="133.19999999999999" x14ac:dyDescent="1.05">
      <c r="A41" s="19" t="s">
        <v>310</v>
      </c>
      <c r="B41" s="20" t="s">
        <v>29</v>
      </c>
      <c r="C41" s="21" t="s">
        <v>1</v>
      </c>
      <c r="D41" s="22">
        <v>1098</v>
      </c>
      <c r="E41" s="22">
        <v>75</v>
      </c>
      <c r="F41" s="22"/>
      <c r="G41" s="22">
        <f t="shared" si="0"/>
        <v>1173</v>
      </c>
      <c r="H41" s="24" t="e">
        <f>VLOOKUP(A41,#REF!,5,0)</f>
        <v>#REF!</v>
      </c>
      <c r="I41" s="25" t="e">
        <f>SUM(#REF!)</f>
        <v>#REF!</v>
      </c>
      <c r="J41" s="25" t="e">
        <f>SUMIF(#REF!,'MEDIÇÃO 39'!A41,#REF!)</f>
        <v>#REF!</v>
      </c>
      <c r="K41" s="25" t="e">
        <f t="shared" si="1"/>
        <v>#REF!</v>
      </c>
      <c r="L41" s="25" t="e">
        <f>G41-K41</f>
        <v>#REF!</v>
      </c>
      <c r="M41" s="24" t="e">
        <f>ROUND(I41*H41,2)</f>
        <v>#REF!</v>
      </c>
      <c r="N41" s="21" t="e">
        <f>ROUND(J41*H41,2)</f>
        <v>#REF!</v>
      </c>
      <c r="O41" s="26" t="e">
        <f t="shared" si="2"/>
        <v>#REF!</v>
      </c>
      <c r="P41" s="26" t="e">
        <f>ROUND((G41*H41)-O41,2)</f>
        <v>#REF!</v>
      </c>
      <c r="Q41" s="85">
        <f>IFERROR(ROUND(O41/(G41*H41),2),0)</f>
        <v>0</v>
      </c>
    </row>
    <row r="42" spans="1:21" ht="199.8" x14ac:dyDescent="1.05">
      <c r="A42" s="19" t="s">
        <v>311</v>
      </c>
      <c r="B42" s="20" t="s">
        <v>30</v>
      </c>
      <c r="C42" s="21" t="s">
        <v>1</v>
      </c>
      <c r="D42" s="22">
        <v>17</v>
      </c>
      <c r="E42" s="22">
        <v>52</v>
      </c>
      <c r="F42" s="22">
        <v>50</v>
      </c>
      <c r="G42" s="22">
        <f t="shared" si="0"/>
        <v>119</v>
      </c>
      <c r="H42" s="24" t="e">
        <f>VLOOKUP(A42,#REF!,5,0)</f>
        <v>#REF!</v>
      </c>
      <c r="I42" s="25" t="e">
        <f>SUM(#REF!)</f>
        <v>#REF!</v>
      </c>
      <c r="J42" s="25" t="e">
        <f>SUMIF(#REF!,'MEDIÇÃO 39'!A42,#REF!)</f>
        <v>#REF!</v>
      </c>
      <c r="K42" s="25" t="e">
        <f t="shared" si="1"/>
        <v>#REF!</v>
      </c>
      <c r="L42" s="25" t="e">
        <f>G42-K42</f>
        <v>#REF!</v>
      </c>
      <c r="M42" s="24" t="e">
        <f>ROUND(I42*H42,2)</f>
        <v>#REF!</v>
      </c>
      <c r="N42" s="21" t="e">
        <f>ROUND(J42*H42,2)</f>
        <v>#REF!</v>
      </c>
      <c r="O42" s="26" t="e">
        <f t="shared" si="2"/>
        <v>#REF!</v>
      </c>
      <c r="P42" s="26" t="e">
        <f>ROUND((G42*H42)-O42,2)</f>
        <v>#REF!</v>
      </c>
      <c r="Q42" s="85">
        <f>IFERROR(ROUND(O42/(G42*H42),2),0)</f>
        <v>0</v>
      </c>
    </row>
    <row r="43" spans="1:21" ht="199.8" x14ac:dyDescent="1.05">
      <c r="A43" s="19" t="s">
        <v>312</v>
      </c>
      <c r="B43" s="20" t="s">
        <v>31</v>
      </c>
      <c r="C43" s="21" t="s">
        <v>1</v>
      </c>
      <c r="D43" s="22">
        <v>138</v>
      </c>
      <c r="E43" s="22"/>
      <c r="F43" s="22">
        <v>50</v>
      </c>
      <c r="G43" s="22">
        <f t="shared" si="0"/>
        <v>188</v>
      </c>
      <c r="H43" s="24" t="e">
        <f>VLOOKUP(A43,#REF!,5,0)</f>
        <v>#REF!</v>
      </c>
      <c r="I43" s="25" t="e">
        <f>SUM(#REF!)</f>
        <v>#REF!</v>
      </c>
      <c r="J43" s="25" t="e">
        <f>SUMIF(#REF!,'MEDIÇÃO 39'!A43,#REF!)</f>
        <v>#REF!</v>
      </c>
      <c r="K43" s="25" t="e">
        <f t="shared" si="1"/>
        <v>#REF!</v>
      </c>
      <c r="L43" s="25" t="e">
        <f>G43-K43</f>
        <v>#REF!</v>
      </c>
      <c r="M43" s="24" t="e">
        <f>ROUND(I43*H43,2)</f>
        <v>#REF!</v>
      </c>
      <c r="N43" s="21" t="e">
        <f>ROUND(J43*H43,2)</f>
        <v>#REF!</v>
      </c>
      <c r="O43" s="26" t="e">
        <f t="shared" si="2"/>
        <v>#REF!</v>
      </c>
      <c r="P43" s="26" t="e">
        <f>ROUND((G43*H43)-O43,2)</f>
        <v>#REF!</v>
      </c>
      <c r="Q43" s="85">
        <f>IFERROR(ROUND(O43/(G43*H43),2),0)</f>
        <v>0</v>
      </c>
    </row>
    <row r="44" spans="1:21" ht="133.19999999999999" x14ac:dyDescent="1.05">
      <c r="A44" s="19" t="s">
        <v>313</v>
      </c>
      <c r="B44" s="20" t="s">
        <v>32</v>
      </c>
      <c r="C44" s="21" t="s">
        <v>1</v>
      </c>
      <c r="D44" s="22">
        <v>12</v>
      </c>
      <c r="E44" s="22"/>
      <c r="F44" s="22"/>
      <c r="G44" s="22">
        <f t="shared" si="0"/>
        <v>12</v>
      </c>
      <c r="H44" s="24" t="e">
        <f>VLOOKUP(A44,#REF!,5,0)</f>
        <v>#REF!</v>
      </c>
      <c r="I44" s="25" t="e">
        <f>SUM(#REF!)</f>
        <v>#REF!</v>
      </c>
      <c r="J44" s="25" t="e">
        <f>SUMIF(#REF!,'MEDIÇÃO 39'!A44,#REF!)</f>
        <v>#REF!</v>
      </c>
      <c r="K44" s="25" t="e">
        <f t="shared" si="1"/>
        <v>#REF!</v>
      </c>
      <c r="L44" s="25" t="e">
        <f>G44-K44</f>
        <v>#REF!</v>
      </c>
      <c r="M44" s="24" t="e">
        <f>ROUND(I44*H44,2)</f>
        <v>#REF!</v>
      </c>
      <c r="N44" s="21" t="e">
        <f>ROUND(J44*H44,2)</f>
        <v>#REF!</v>
      </c>
      <c r="O44" s="26" t="e">
        <f t="shared" si="2"/>
        <v>#REF!</v>
      </c>
      <c r="P44" s="26" t="e">
        <f>ROUND((G44*H44)-O44,2)</f>
        <v>#REF!</v>
      </c>
      <c r="Q44" s="85">
        <f>IFERROR(ROUND(O44/(G44*H44),2),0)</f>
        <v>0</v>
      </c>
    </row>
    <row r="45" spans="1:21" ht="133.19999999999999" x14ac:dyDescent="1.05">
      <c r="A45" s="19" t="s">
        <v>314</v>
      </c>
      <c r="B45" s="20" t="s">
        <v>33</v>
      </c>
      <c r="C45" s="21" t="s">
        <v>1</v>
      </c>
      <c r="D45" s="22">
        <v>12</v>
      </c>
      <c r="E45" s="22"/>
      <c r="F45" s="22"/>
      <c r="G45" s="22">
        <f t="shared" si="0"/>
        <v>12</v>
      </c>
      <c r="H45" s="24" t="e">
        <f>VLOOKUP(A45,#REF!,5,0)</f>
        <v>#REF!</v>
      </c>
      <c r="I45" s="25" t="e">
        <f>SUM(#REF!)</f>
        <v>#REF!</v>
      </c>
      <c r="J45" s="25" t="e">
        <f>SUMIF(#REF!,'MEDIÇÃO 39'!A45,#REF!)</f>
        <v>#REF!</v>
      </c>
      <c r="K45" s="25" t="e">
        <f t="shared" si="1"/>
        <v>#REF!</v>
      </c>
      <c r="L45" s="25" t="e">
        <f>G45-K45</f>
        <v>#REF!</v>
      </c>
      <c r="M45" s="24" t="e">
        <f>ROUND(I45*H45,2)</f>
        <v>#REF!</v>
      </c>
      <c r="N45" s="21" t="e">
        <f>ROUND(J45*H45,2)</f>
        <v>#REF!</v>
      </c>
      <c r="O45" s="26" t="e">
        <f t="shared" si="2"/>
        <v>#REF!</v>
      </c>
      <c r="P45" s="26" t="e">
        <f>ROUND((G45*H45)-O45,2)</f>
        <v>#REF!</v>
      </c>
      <c r="Q45" s="85">
        <f>IFERROR(ROUND(O45/(G45*H45),2),0)</f>
        <v>0</v>
      </c>
    </row>
    <row r="46" spans="1:21" ht="133.19999999999999" x14ac:dyDescent="1.05">
      <c r="A46" s="19" t="s">
        <v>315</v>
      </c>
      <c r="B46" s="20" t="s">
        <v>34</v>
      </c>
      <c r="C46" s="21" t="s">
        <v>1</v>
      </c>
      <c r="D46" s="22">
        <v>1</v>
      </c>
      <c r="E46" s="22"/>
      <c r="F46" s="22"/>
      <c r="G46" s="22">
        <f t="shared" si="0"/>
        <v>1</v>
      </c>
      <c r="H46" s="24" t="e">
        <f>VLOOKUP(A46,#REF!,5,0)</f>
        <v>#REF!</v>
      </c>
      <c r="I46" s="25" t="e">
        <f>SUM(#REF!)</f>
        <v>#REF!</v>
      </c>
      <c r="J46" s="25" t="e">
        <f>SUMIF(#REF!,'MEDIÇÃO 39'!A46,#REF!)</f>
        <v>#REF!</v>
      </c>
      <c r="K46" s="25" t="e">
        <f t="shared" si="1"/>
        <v>#REF!</v>
      </c>
      <c r="L46" s="25" t="e">
        <f>G46-K46</f>
        <v>#REF!</v>
      </c>
      <c r="M46" s="24" t="e">
        <f>ROUND(I46*H46,2)</f>
        <v>#REF!</v>
      </c>
      <c r="N46" s="21" t="e">
        <f>ROUND(J46*H46,2)</f>
        <v>#REF!</v>
      </c>
      <c r="O46" s="26" t="e">
        <f t="shared" si="2"/>
        <v>#REF!</v>
      </c>
      <c r="P46" s="26" t="e">
        <f>ROUND((G46*H46)-O46,2)</f>
        <v>#REF!</v>
      </c>
      <c r="Q46" s="85">
        <f>IFERROR(ROUND(O46/(G46*H46),2),0)</f>
        <v>0</v>
      </c>
    </row>
    <row r="47" spans="1:21" ht="133.19999999999999" x14ac:dyDescent="1.05">
      <c r="A47" s="19" t="s">
        <v>316</v>
      </c>
      <c r="B47" s="20" t="s">
        <v>35</v>
      </c>
      <c r="C47" s="21" t="s">
        <v>1</v>
      </c>
      <c r="D47" s="22">
        <v>1</v>
      </c>
      <c r="E47" s="22"/>
      <c r="F47" s="22"/>
      <c r="G47" s="22">
        <f t="shared" si="0"/>
        <v>1</v>
      </c>
      <c r="H47" s="24" t="e">
        <f>VLOOKUP(A47,#REF!,5,0)</f>
        <v>#REF!</v>
      </c>
      <c r="I47" s="25" t="e">
        <f>SUM(#REF!)</f>
        <v>#REF!</v>
      </c>
      <c r="J47" s="25" t="e">
        <f>SUMIF(#REF!,'MEDIÇÃO 39'!A47,#REF!)</f>
        <v>#REF!</v>
      </c>
      <c r="K47" s="25" t="e">
        <f t="shared" si="1"/>
        <v>#REF!</v>
      </c>
      <c r="L47" s="25" t="e">
        <f>G47-K47</f>
        <v>#REF!</v>
      </c>
      <c r="M47" s="24" t="e">
        <f>ROUND(I47*H47,2)</f>
        <v>#REF!</v>
      </c>
      <c r="N47" s="21" t="e">
        <f>ROUND(J47*H47,2)</f>
        <v>#REF!</v>
      </c>
      <c r="O47" s="26" t="e">
        <f t="shared" si="2"/>
        <v>#REF!</v>
      </c>
      <c r="P47" s="26" t="e">
        <f>ROUND((G47*H47)-O47,2)</f>
        <v>#REF!</v>
      </c>
      <c r="Q47" s="85">
        <f>IFERROR(ROUND(O47/(G47*H47),2),0)</f>
        <v>0</v>
      </c>
    </row>
    <row r="48" spans="1:21" ht="66.599999999999994" x14ac:dyDescent="1.05">
      <c r="A48" s="19" t="s">
        <v>317</v>
      </c>
      <c r="B48" s="20" t="s">
        <v>36</v>
      </c>
      <c r="C48" s="21" t="s">
        <v>278</v>
      </c>
      <c r="D48" s="22">
        <v>36</v>
      </c>
      <c r="E48" s="22"/>
      <c r="F48" s="22"/>
      <c r="G48" s="22">
        <f t="shared" si="0"/>
        <v>36</v>
      </c>
      <c r="H48" s="24" t="e">
        <f>VLOOKUP(A48,#REF!,5,0)</f>
        <v>#REF!</v>
      </c>
      <c r="I48" s="25" t="e">
        <f>SUM(#REF!)</f>
        <v>#REF!</v>
      </c>
      <c r="J48" s="25" t="e">
        <f>SUMIF(#REF!,'MEDIÇÃO 39'!A48,#REF!)</f>
        <v>#REF!</v>
      </c>
      <c r="K48" s="25" t="e">
        <f t="shared" si="1"/>
        <v>#REF!</v>
      </c>
      <c r="L48" s="25" t="e">
        <f>G48-K48</f>
        <v>#REF!</v>
      </c>
      <c r="M48" s="24" t="e">
        <f>ROUND(I48*H48,2)</f>
        <v>#REF!</v>
      </c>
      <c r="N48" s="21" t="e">
        <f>ROUND(J48*H48,2)</f>
        <v>#REF!</v>
      </c>
      <c r="O48" s="26" t="e">
        <f t="shared" si="2"/>
        <v>#REF!</v>
      </c>
      <c r="P48" s="26" t="e">
        <f>ROUND((G48*H48)-O48,2)</f>
        <v>#REF!</v>
      </c>
      <c r="Q48" s="85">
        <f>IFERROR(ROUND(O48/(G48*H48),2),0)</f>
        <v>0</v>
      </c>
    </row>
    <row r="49" spans="1:17" ht="66.599999999999994" x14ac:dyDescent="1.05">
      <c r="A49" s="19" t="s">
        <v>318</v>
      </c>
      <c r="B49" s="20" t="s">
        <v>37</v>
      </c>
      <c r="C49" s="21" t="s">
        <v>1</v>
      </c>
      <c r="D49" s="22">
        <v>10</v>
      </c>
      <c r="E49" s="22">
        <v>30</v>
      </c>
      <c r="F49" s="22">
        <v>30</v>
      </c>
      <c r="G49" s="22">
        <f t="shared" si="0"/>
        <v>70</v>
      </c>
      <c r="H49" s="24" t="e">
        <f>VLOOKUP(A49,#REF!,5,0)</f>
        <v>#REF!</v>
      </c>
      <c r="I49" s="25" t="e">
        <f>SUM(#REF!)</f>
        <v>#REF!</v>
      </c>
      <c r="J49" s="25" t="e">
        <f>SUMIF(#REF!,'MEDIÇÃO 39'!A49,#REF!)</f>
        <v>#REF!</v>
      </c>
      <c r="K49" s="25" t="e">
        <f t="shared" si="1"/>
        <v>#REF!</v>
      </c>
      <c r="L49" s="25" t="e">
        <f>G49-K49</f>
        <v>#REF!</v>
      </c>
      <c r="M49" s="24" t="e">
        <f>ROUND(I49*H49,2)</f>
        <v>#REF!</v>
      </c>
      <c r="N49" s="21" t="e">
        <f>ROUND(J49*H49,2)</f>
        <v>#REF!</v>
      </c>
      <c r="O49" s="26" t="e">
        <f t="shared" si="2"/>
        <v>#REF!</v>
      </c>
      <c r="P49" s="26" t="e">
        <f>ROUND((G49*H49)-O49,2)</f>
        <v>#REF!</v>
      </c>
      <c r="Q49" s="85">
        <f>IFERROR(ROUND(O49/(G49*H49),2),0)</f>
        <v>0</v>
      </c>
    </row>
    <row r="50" spans="1:17" ht="66.599999999999994" x14ac:dyDescent="1.05">
      <c r="A50" s="19" t="s">
        <v>319</v>
      </c>
      <c r="B50" s="20" t="s">
        <v>38</v>
      </c>
      <c r="C50" s="21" t="s">
        <v>1</v>
      </c>
      <c r="D50" s="22">
        <v>250</v>
      </c>
      <c r="E50" s="22">
        <v>100</v>
      </c>
      <c r="F50" s="22"/>
      <c r="G50" s="22">
        <f t="shared" si="0"/>
        <v>350</v>
      </c>
      <c r="H50" s="24" t="e">
        <f>VLOOKUP(A50,#REF!,5,0)</f>
        <v>#REF!</v>
      </c>
      <c r="I50" s="25" t="e">
        <f>SUM(#REF!)</f>
        <v>#REF!</v>
      </c>
      <c r="J50" s="25" t="e">
        <f>SUMIF(#REF!,'MEDIÇÃO 39'!A50,#REF!)</f>
        <v>#REF!</v>
      </c>
      <c r="K50" s="25" t="e">
        <f t="shared" si="1"/>
        <v>#REF!</v>
      </c>
      <c r="L50" s="25" t="e">
        <f>G50-K50</f>
        <v>#REF!</v>
      </c>
      <c r="M50" s="24" t="e">
        <f>ROUND(I50*H50,2)</f>
        <v>#REF!</v>
      </c>
      <c r="N50" s="21" t="e">
        <f>ROUND(J50*H50,2)</f>
        <v>#REF!</v>
      </c>
      <c r="O50" s="26" t="e">
        <f t="shared" si="2"/>
        <v>#REF!</v>
      </c>
      <c r="P50" s="26" t="e">
        <f>ROUND((G50*H50)-O50,2)</f>
        <v>#REF!</v>
      </c>
      <c r="Q50" s="85">
        <f>IFERROR(ROUND(O50/(G50*H50),2),0)</f>
        <v>0</v>
      </c>
    </row>
    <row r="51" spans="1:17" ht="66.599999999999994" x14ac:dyDescent="1.05">
      <c r="A51" s="19" t="s">
        <v>320</v>
      </c>
      <c r="B51" s="20" t="s">
        <v>39</v>
      </c>
      <c r="C51" s="21" t="s">
        <v>1</v>
      </c>
      <c r="D51" s="22">
        <v>12</v>
      </c>
      <c r="E51" s="22"/>
      <c r="F51" s="22"/>
      <c r="G51" s="22">
        <f t="shared" si="0"/>
        <v>12</v>
      </c>
      <c r="H51" s="24" t="e">
        <f>VLOOKUP(A51,#REF!,5,0)</f>
        <v>#REF!</v>
      </c>
      <c r="I51" s="25" t="e">
        <f>SUM(#REF!)</f>
        <v>#REF!</v>
      </c>
      <c r="J51" s="25" t="e">
        <f>SUMIF(#REF!,'MEDIÇÃO 39'!A51,#REF!)</f>
        <v>#REF!</v>
      </c>
      <c r="K51" s="25" t="e">
        <f t="shared" si="1"/>
        <v>#REF!</v>
      </c>
      <c r="L51" s="25" t="e">
        <f>G51-K51</f>
        <v>#REF!</v>
      </c>
      <c r="M51" s="24" t="e">
        <f>ROUND(I51*H51,2)</f>
        <v>#REF!</v>
      </c>
      <c r="N51" s="21" t="e">
        <f>ROUND(J51*H51,2)</f>
        <v>#REF!</v>
      </c>
      <c r="O51" s="26" t="e">
        <f t="shared" si="2"/>
        <v>#REF!</v>
      </c>
      <c r="P51" s="26" t="e">
        <f>ROUND((G51*H51)-O51,2)</f>
        <v>#REF!</v>
      </c>
      <c r="Q51" s="85">
        <f>IFERROR(ROUND(O51/(G51*H51),2),0)</f>
        <v>0</v>
      </c>
    </row>
    <row r="52" spans="1:17" ht="133.19999999999999" x14ac:dyDescent="1.05">
      <c r="A52" s="19" t="s">
        <v>321</v>
      </c>
      <c r="B52" s="20" t="s">
        <v>40</v>
      </c>
      <c r="C52" s="21" t="s">
        <v>1</v>
      </c>
      <c r="D52" s="22">
        <v>50</v>
      </c>
      <c r="E52" s="22"/>
      <c r="F52" s="22"/>
      <c r="G52" s="22">
        <f t="shared" si="0"/>
        <v>50</v>
      </c>
      <c r="H52" s="24" t="e">
        <f>VLOOKUP(A52,#REF!,5,0)</f>
        <v>#REF!</v>
      </c>
      <c r="I52" s="25" t="e">
        <f>SUM(#REF!)</f>
        <v>#REF!</v>
      </c>
      <c r="J52" s="25" t="e">
        <f>SUMIF(#REF!,'MEDIÇÃO 39'!A52,#REF!)</f>
        <v>#REF!</v>
      </c>
      <c r="K52" s="25" t="e">
        <f t="shared" si="1"/>
        <v>#REF!</v>
      </c>
      <c r="L52" s="25" t="e">
        <f>G52-K52</f>
        <v>#REF!</v>
      </c>
      <c r="M52" s="24" t="e">
        <f>ROUND(I52*H52,2)</f>
        <v>#REF!</v>
      </c>
      <c r="N52" s="21" t="e">
        <f>ROUND(J52*H52,2)</f>
        <v>#REF!</v>
      </c>
      <c r="O52" s="26" t="e">
        <f t="shared" si="2"/>
        <v>#REF!</v>
      </c>
      <c r="P52" s="26" t="e">
        <f>ROUND((G52*H52)-O52,2)</f>
        <v>#REF!</v>
      </c>
      <c r="Q52" s="85">
        <f>IFERROR(ROUND(O52/(G52*H52),2),0)</f>
        <v>0</v>
      </c>
    </row>
    <row r="53" spans="1:17" ht="133.19999999999999" x14ac:dyDescent="1.05">
      <c r="A53" s="19" t="s">
        <v>322</v>
      </c>
      <c r="B53" s="20" t="s">
        <v>41</v>
      </c>
      <c r="C53" s="21" t="s">
        <v>1</v>
      </c>
      <c r="D53" s="22">
        <v>15</v>
      </c>
      <c r="E53" s="22"/>
      <c r="F53" s="22"/>
      <c r="G53" s="22">
        <f t="shared" si="0"/>
        <v>15</v>
      </c>
      <c r="H53" s="24" t="e">
        <f>VLOOKUP(A53,#REF!,5,0)</f>
        <v>#REF!</v>
      </c>
      <c r="I53" s="25" t="e">
        <f>SUM(#REF!)</f>
        <v>#REF!</v>
      </c>
      <c r="J53" s="25" t="e">
        <f>SUMIF(#REF!,'MEDIÇÃO 39'!A53,#REF!)</f>
        <v>#REF!</v>
      </c>
      <c r="K53" s="25" t="e">
        <f t="shared" si="1"/>
        <v>#REF!</v>
      </c>
      <c r="L53" s="25" t="e">
        <f>G53-K53</f>
        <v>#REF!</v>
      </c>
      <c r="M53" s="24" t="e">
        <f>ROUND(I53*H53,2)</f>
        <v>#REF!</v>
      </c>
      <c r="N53" s="21" t="e">
        <f>ROUND(J53*H53,2)</f>
        <v>#REF!</v>
      </c>
      <c r="O53" s="26" t="e">
        <f t="shared" si="2"/>
        <v>#REF!</v>
      </c>
      <c r="P53" s="26" t="e">
        <f>ROUND((G53*H53)-O53,2)</f>
        <v>#REF!</v>
      </c>
      <c r="Q53" s="85">
        <f>IFERROR(ROUND(O53/(G53*H53),2),0)</f>
        <v>0</v>
      </c>
    </row>
    <row r="54" spans="1:17" ht="133.19999999999999" x14ac:dyDescent="1.05">
      <c r="A54" s="19" t="s">
        <v>323</v>
      </c>
      <c r="B54" s="20" t="s">
        <v>42</v>
      </c>
      <c r="C54" s="21" t="s">
        <v>1</v>
      </c>
      <c r="D54" s="22">
        <v>50</v>
      </c>
      <c r="E54" s="22"/>
      <c r="F54" s="22"/>
      <c r="G54" s="22">
        <f t="shared" si="0"/>
        <v>50</v>
      </c>
      <c r="H54" s="24" t="e">
        <f>VLOOKUP(A54,#REF!,5,0)</f>
        <v>#REF!</v>
      </c>
      <c r="I54" s="25" t="e">
        <f>SUM(#REF!)</f>
        <v>#REF!</v>
      </c>
      <c r="J54" s="25" t="e">
        <f>SUMIF(#REF!,'MEDIÇÃO 39'!A54,#REF!)</f>
        <v>#REF!</v>
      </c>
      <c r="K54" s="25" t="e">
        <f t="shared" si="1"/>
        <v>#REF!</v>
      </c>
      <c r="L54" s="25" t="e">
        <f>G54-K54</f>
        <v>#REF!</v>
      </c>
      <c r="M54" s="24" t="e">
        <f>ROUND(I54*H54,2)</f>
        <v>#REF!</v>
      </c>
      <c r="N54" s="21" t="e">
        <f>ROUND(J54*H54,2)</f>
        <v>#REF!</v>
      </c>
      <c r="O54" s="26" t="e">
        <f t="shared" si="2"/>
        <v>#REF!</v>
      </c>
      <c r="P54" s="26" t="e">
        <f>ROUND((G54*H54)-O54,2)</f>
        <v>#REF!</v>
      </c>
      <c r="Q54" s="85">
        <f>IFERROR(ROUND(O54/(G54*H54),2),0)</f>
        <v>0</v>
      </c>
    </row>
    <row r="55" spans="1:17" ht="66.599999999999994" x14ac:dyDescent="1.05">
      <c r="A55" s="19" t="s">
        <v>324</v>
      </c>
      <c r="B55" s="20" t="s">
        <v>43</v>
      </c>
      <c r="C55" s="21" t="s">
        <v>1</v>
      </c>
      <c r="D55" s="22">
        <v>4133</v>
      </c>
      <c r="E55" s="22"/>
      <c r="F55" s="22"/>
      <c r="G55" s="22">
        <f t="shared" si="0"/>
        <v>4133</v>
      </c>
      <c r="H55" s="24" t="e">
        <f>VLOOKUP(A55,#REF!,5,0)</f>
        <v>#REF!</v>
      </c>
      <c r="I55" s="25" t="e">
        <f>SUM(#REF!)</f>
        <v>#REF!</v>
      </c>
      <c r="J55" s="25" t="e">
        <f>SUMIF(#REF!,'MEDIÇÃO 39'!A55,#REF!)</f>
        <v>#REF!</v>
      </c>
      <c r="K55" s="25" t="e">
        <f t="shared" si="1"/>
        <v>#REF!</v>
      </c>
      <c r="L55" s="25" t="e">
        <f>G55-K55</f>
        <v>#REF!</v>
      </c>
      <c r="M55" s="24" t="e">
        <f>ROUND(I55*H55,2)</f>
        <v>#REF!</v>
      </c>
      <c r="N55" s="21" t="e">
        <f>ROUND(J55*H55,2)</f>
        <v>#REF!</v>
      </c>
      <c r="O55" s="26" t="e">
        <f t="shared" si="2"/>
        <v>#REF!</v>
      </c>
      <c r="P55" s="26" t="e">
        <f>ROUND((G55*H55)-O55,2)</f>
        <v>#REF!</v>
      </c>
      <c r="Q55" s="85">
        <f>IFERROR(ROUND(O55/(G55*H55),2),0)</f>
        <v>0</v>
      </c>
    </row>
    <row r="56" spans="1:17" ht="66.599999999999994" x14ac:dyDescent="1.05">
      <c r="A56" s="19" t="s">
        <v>325</v>
      </c>
      <c r="B56" s="20" t="s">
        <v>44</v>
      </c>
      <c r="C56" s="21" t="s">
        <v>1</v>
      </c>
      <c r="D56" s="22">
        <v>5</v>
      </c>
      <c r="E56" s="22"/>
      <c r="F56" s="22"/>
      <c r="G56" s="22">
        <f t="shared" si="0"/>
        <v>5</v>
      </c>
      <c r="H56" s="24" t="e">
        <f>VLOOKUP(A56,#REF!,5,0)</f>
        <v>#REF!</v>
      </c>
      <c r="I56" s="25" t="e">
        <f>SUM(#REF!)</f>
        <v>#REF!</v>
      </c>
      <c r="J56" s="25" t="e">
        <f>SUMIF(#REF!,'MEDIÇÃO 39'!A56,#REF!)</f>
        <v>#REF!</v>
      </c>
      <c r="K56" s="25" t="e">
        <f t="shared" si="1"/>
        <v>#REF!</v>
      </c>
      <c r="L56" s="25" t="e">
        <f>G56-K56</f>
        <v>#REF!</v>
      </c>
      <c r="M56" s="24" t="e">
        <f>ROUND(I56*H56,2)</f>
        <v>#REF!</v>
      </c>
      <c r="N56" s="21" t="e">
        <f>ROUND(J56*H56,2)</f>
        <v>#REF!</v>
      </c>
      <c r="O56" s="26" t="e">
        <f t="shared" si="2"/>
        <v>#REF!</v>
      </c>
      <c r="P56" s="26" t="e">
        <f>ROUND((G56*H56)-O56,2)</f>
        <v>#REF!</v>
      </c>
      <c r="Q56" s="85">
        <f>IFERROR(ROUND(O56/(G56*H56),2),0)</f>
        <v>0</v>
      </c>
    </row>
    <row r="57" spans="1:17" ht="66.599999999999994" x14ac:dyDescent="1.05">
      <c r="A57" s="19" t="s">
        <v>326</v>
      </c>
      <c r="B57" s="20" t="s">
        <v>45</v>
      </c>
      <c r="C57" s="21" t="s">
        <v>1</v>
      </c>
      <c r="D57" s="22">
        <v>5</v>
      </c>
      <c r="E57" s="22"/>
      <c r="F57" s="22"/>
      <c r="G57" s="22">
        <f t="shared" si="0"/>
        <v>5</v>
      </c>
      <c r="H57" s="24" t="e">
        <f>VLOOKUP(A57,#REF!,5,0)</f>
        <v>#REF!</v>
      </c>
      <c r="I57" s="25" t="e">
        <f>SUM(#REF!)</f>
        <v>#REF!</v>
      </c>
      <c r="J57" s="25" t="e">
        <f>SUMIF(#REF!,'MEDIÇÃO 39'!A57,#REF!)</f>
        <v>#REF!</v>
      </c>
      <c r="K57" s="25" t="e">
        <f t="shared" si="1"/>
        <v>#REF!</v>
      </c>
      <c r="L57" s="25" t="e">
        <f>G57-K57</f>
        <v>#REF!</v>
      </c>
      <c r="M57" s="24" t="e">
        <f>ROUND(I57*H57,2)</f>
        <v>#REF!</v>
      </c>
      <c r="N57" s="21" t="e">
        <f>ROUND(J57*H57,2)</f>
        <v>#REF!</v>
      </c>
      <c r="O57" s="26" t="e">
        <f t="shared" si="2"/>
        <v>#REF!</v>
      </c>
      <c r="P57" s="26" t="e">
        <f>ROUND((G57*H57)-O57,2)</f>
        <v>#REF!</v>
      </c>
      <c r="Q57" s="85">
        <f>IFERROR(ROUND(O57/(G57*H57),2),0)</f>
        <v>0</v>
      </c>
    </row>
    <row r="58" spans="1:17" ht="133.19999999999999" x14ac:dyDescent="1.05">
      <c r="A58" s="19" t="s">
        <v>327</v>
      </c>
      <c r="B58" s="20" t="s">
        <v>46</v>
      </c>
      <c r="C58" s="21" t="s">
        <v>1</v>
      </c>
      <c r="D58" s="22">
        <v>12</v>
      </c>
      <c r="E58" s="22"/>
      <c r="F58" s="22"/>
      <c r="G58" s="22">
        <f t="shared" si="0"/>
        <v>12</v>
      </c>
      <c r="H58" s="24" t="e">
        <f>VLOOKUP(A58,#REF!,5,0)</f>
        <v>#REF!</v>
      </c>
      <c r="I58" s="25" t="e">
        <f>SUM(#REF!)</f>
        <v>#REF!</v>
      </c>
      <c r="J58" s="25" t="e">
        <f>SUMIF(#REF!,'MEDIÇÃO 39'!A58,#REF!)</f>
        <v>#REF!</v>
      </c>
      <c r="K58" s="25" t="e">
        <f t="shared" si="1"/>
        <v>#REF!</v>
      </c>
      <c r="L58" s="25" t="e">
        <f>G58-K58</f>
        <v>#REF!</v>
      </c>
      <c r="M58" s="24" t="e">
        <f>ROUND(I58*H58,2)</f>
        <v>#REF!</v>
      </c>
      <c r="N58" s="21" t="e">
        <f>ROUND(J58*H58,2)</f>
        <v>#REF!</v>
      </c>
      <c r="O58" s="26" t="e">
        <f t="shared" si="2"/>
        <v>#REF!</v>
      </c>
      <c r="P58" s="26" t="e">
        <f>ROUND((G58*H58)-O58,2)</f>
        <v>#REF!</v>
      </c>
      <c r="Q58" s="85">
        <f>IFERROR(ROUND(O58/(G58*H58),2),0)</f>
        <v>0</v>
      </c>
    </row>
    <row r="59" spans="1:17" ht="133.19999999999999" x14ac:dyDescent="1.05">
      <c r="A59" s="19" t="s">
        <v>328</v>
      </c>
      <c r="B59" s="20" t="s">
        <v>47</v>
      </c>
      <c r="C59" s="21" t="s">
        <v>1</v>
      </c>
      <c r="D59" s="22">
        <v>90</v>
      </c>
      <c r="E59" s="22"/>
      <c r="F59" s="22"/>
      <c r="G59" s="22">
        <f t="shared" si="0"/>
        <v>90</v>
      </c>
      <c r="H59" s="24" t="e">
        <f>VLOOKUP(A59,#REF!,5,0)</f>
        <v>#REF!</v>
      </c>
      <c r="I59" s="25" t="e">
        <f>SUM(#REF!)</f>
        <v>#REF!</v>
      </c>
      <c r="J59" s="25" t="e">
        <f>SUMIF(#REF!,'MEDIÇÃO 39'!A59,#REF!)</f>
        <v>#REF!</v>
      </c>
      <c r="K59" s="25" t="e">
        <f t="shared" si="1"/>
        <v>#REF!</v>
      </c>
      <c r="L59" s="25" t="e">
        <f>G59-K59</f>
        <v>#REF!</v>
      </c>
      <c r="M59" s="24" t="e">
        <f>ROUND(I59*H59,2)</f>
        <v>#REF!</v>
      </c>
      <c r="N59" s="21" t="e">
        <f>ROUND(J59*H59,2)</f>
        <v>#REF!</v>
      </c>
      <c r="O59" s="26" t="e">
        <f t="shared" si="2"/>
        <v>#REF!</v>
      </c>
      <c r="P59" s="26" t="e">
        <f>ROUND((G59*H59)-O59,2)</f>
        <v>#REF!</v>
      </c>
      <c r="Q59" s="85">
        <f>IFERROR(ROUND(O59/(G59*H59),2),0)</f>
        <v>0</v>
      </c>
    </row>
    <row r="60" spans="1:17" ht="133.19999999999999" x14ac:dyDescent="1.05">
      <c r="A60" s="19" t="s">
        <v>329</v>
      </c>
      <c r="B60" s="20" t="s">
        <v>48</v>
      </c>
      <c r="C60" s="21" t="s">
        <v>1</v>
      </c>
      <c r="D60" s="22">
        <v>1</v>
      </c>
      <c r="E60" s="22"/>
      <c r="F60" s="22"/>
      <c r="G60" s="22">
        <f t="shared" si="0"/>
        <v>1</v>
      </c>
      <c r="H60" s="24" t="e">
        <f>VLOOKUP(A60,#REF!,5,0)</f>
        <v>#REF!</v>
      </c>
      <c r="I60" s="25" t="e">
        <f>SUM(#REF!)</f>
        <v>#REF!</v>
      </c>
      <c r="J60" s="25" t="e">
        <f>SUMIF(#REF!,'MEDIÇÃO 39'!A60,#REF!)</f>
        <v>#REF!</v>
      </c>
      <c r="K60" s="25" t="e">
        <f t="shared" si="1"/>
        <v>#REF!</v>
      </c>
      <c r="L60" s="25" t="e">
        <f>G60-K60</f>
        <v>#REF!</v>
      </c>
      <c r="M60" s="24" t="e">
        <f>ROUND(I60*H60,2)</f>
        <v>#REF!</v>
      </c>
      <c r="N60" s="21" t="e">
        <f>ROUND(J60*H60,2)</f>
        <v>#REF!</v>
      </c>
      <c r="O60" s="26" t="e">
        <f t="shared" si="2"/>
        <v>#REF!</v>
      </c>
      <c r="P60" s="26" t="e">
        <f>ROUND((G60*H60)-O60,2)</f>
        <v>#REF!</v>
      </c>
      <c r="Q60" s="85">
        <f>IFERROR(ROUND(O60/(G60*H60),2),0)</f>
        <v>0</v>
      </c>
    </row>
    <row r="61" spans="1:17" ht="133.19999999999999" x14ac:dyDescent="1.05">
      <c r="A61" s="19" t="s">
        <v>330</v>
      </c>
      <c r="B61" s="20" t="s">
        <v>49</v>
      </c>
      <c r="C61" s="21" t="s">
        <v>276</v>
      </c>
      <c r="D61" s="22">
        <v>250</v>
      </c>
      <c r="E61" s="22"/>
      <c r="F61" s="22"/>
      <c r="G61" s="22">
        <f t="shared" si="0"/>
        <v>250</v>
      </c>
      <c r="H61" s="24" t="e">
        <f>VLOOKUP(A61,#REF!,5,0)</f>
        <v>#REF!</v>
      </c>
      <c r="I61" s="25" t="e">
        <f>SUM(#REF!)</f>
        <v>#REF!</v>
      </c>
      <c r="J61" s="25" t="e">
        <f>SUMIF(#REF!,'MEDIÇÃO 39'!A61,#REF!)</f>
        <v>#REF!</v>
      </c>
      <c r="K61" s="25" t="e">
        <f t="shared" si="1"/>
        <v>#REF!</v>
      </c>
      <c r="L61" s="25" t="e">
        <f>G61-K61</f>
        <v>#REF!</v>
      </c>
      <c r="M61" s="24" t="e">
        <f>ROUND(I61*H61,2)</f>
        <v>#REF!</v>
      </c>
      <c r="N61" s="21" t="e">
        <f>ROUND(J61*H61,2)</f>
        <v>#REF!</v>
      </c>
      <c r="O61" s="26" t="e">
        <f t="shared" si="2"/>
        <v>#REF!</v>
      </c>
      <c r="P61" s="26" t="e">
        <f>ROUND((G61*H61)-O61,2)</f>
        <v>#REF!</v>
      </c>
      <c r="Q61" s="85">
        <f>IFERROR(ROUND(O61/(G61*H61),2),0)</f>
        <v>0</v>
      </c>
    </row>
    <row r="62" spans="1:17" ht="66.599999999999994" x14ac:dyDescent="1.05">
      <c r="A62" s="19" t="s">
        <v>331</v>
      </c>
      <c r="B62" s="20" t="s">
        <v>50</v>
      </c>
      <c r="C62" s="21" t="s">
        <v>276</v>
      </c>
      <c r="D62" s="22">
        <v>500</v>
      </c>
      <c r="E62" s="22"/>
      <c r="F62" s="22"/>
      <c r="G62" s="22">
        <f t="shared" si="0"/>
        <v>500</v>
      </c>
      <c r="H62" s="24" t="e">
        <f>VLOOKUP(A62,#REF!,5,0)</f>
        <v>#REF!</v>
      </c>
      <c r="I62" s="25" t="e">
        <f>SUM(#REF!)</f>
        <v>#REF!</v>
      </c>
      <c r="J62" s="25" t="e">
        <f>SUMIF(#REF!,'MEDIÇÃO 39'!A62,#REF!)</f>
        <v>#REF!</v>
      </c>
      <c r="K62" s="25" t="e">
        <f t="shared" si="1"/>
        <v>#REF!</v>
      </c>
      <c r="L62" s="25" t="e">
        <f>G62-K62</f>
        <v>#REF!</v>
      </c>
      <c r="M62" s="24" t="e">
        <f>ROUND(I62*H62,2)</f>
        <v>#REF!</v>
      </c>
      <c r="N62" s="21" t="e">
        <f>ROUND(J62*H62,2)</f>
        <v>#REF!</v>
      </c>
      <c r="O62" s="26" t="e">
        <f t="shared" si="2"/>
        <v>#REF!</v>
      </c>
      <c r="P62" s="26" t="e">
        <f>ROUND((G62*H62)-O62,2)</f>
        <v>#REF!</v>
      </c>
      <c r="Q62" s="85">
        <f>IFERROR(ROUND(O62/(G62*H62),2),0)</f>
        <v>0</v>
      </c>
    </row>
    <row r="63" spans="1:17" ht="66.599999999999994" x14ac:dyDescent="1.05">
      <c r="A63" s="19" t="s">
        <v>332</v>
      </c>
      <c r="B63" s="20" t="s">
        <v>51</v>
      </c>
      <c r="C63" s="21" t="s">
        <v>1</v>
      </c>
      <c r="D63" s="22">
        <v>250</v>
      </c>
      <c r="E63" s="22"/>
      <c r="F63" s="22"/>
      <c r="G63" s="22">
        <f t="shared" si="0"/>
        <v>250</v>
      </c>
      <c r="H63" s="24" t="e">
        <f>VLOOKUP(A63,#REF!,5,0)</f>
        <v>#REF!</v>
      </c>
      <c r="I63" s="25" t="e">
        <f>SUM(#REF!)</f>
        <v>#REF!</v>
      </c>
      <c r="J63" s="25" t="e">
        <f>SUMIF(#REF!,'MEDIÇÃO 39'!A63,#REF!)</f>
        <v>#REF!</v>
      </c>
      <c r="K63" s="25" t="e">
        <f t="shared" si="1"/>
        <v>#REF!</v>
      </c>
      <c r="L63" s="25" t="e">
        <f>G63-K63</f>
        <v>#REF!</v>
      </c>
      <c r="M63" s="24" t="e">
        <f>ROUND(I63*H63,2)</f>
        <v>#REF!</v>
      </c>
      <c r="N63" s="21" t="e">
        <f>ROUND(J63*H63,2)</f>
        <v>#REF!</v>
      </c>
      <c r="O63" s="26" t="e">
        <f t="shared" si="2"/>
        <v>#REF!</v>
      </c>
      <c r="P63" s="26" t="e">
        <f>ROUND((G63*H63)-O63,2)</f>
        <v>#REF!</v>
      </c>
      <c r="Q63" s="85">
        <f>IFERROR(ROUND(O63/(G63*H63),2),0)</f>
        <v>0</v>
      </c>
    </row>
    <row r="64" spans="1:17" ht="133.19999999999999" x14ac:dyDescent="1.05">
      <c r="A64" s="19" t="s">
        <v>333</v>
      </c>
      <c r="B64" s="20" t="s">
        <v>52</v>
      </c>
      <c r="C64" s="21" t="s">
        <v>1</v>
      </c>
      <c r="D64" s="22">
        <v>25</v>
      </c>
      <c r="E64" s="22"/>
      <c r="F64" s="22"/>
      <c r="G64" s="22">
        <f t="shared" si="0"/>
        <v>25</v>
      </c>
      <c r="H64" s="24" t="e">
        <f>VLOOKUP(A64,#REF!,5,0)</f>
        <v>#REF!</v>
      </c>
      <c r="I64" s="25" t="e">
        <f>SUM(#REF!)</f>
        <v>#REF!</v>
      </c>
      <c r="J64" s="25" t="e">
        <f>SUMIF(#REF!,'MEDIÇÃO 39'!A64,#REF!)</f>
        <v>#REF!</v>
      </c>
      <c r="K64" s="25" t="e">
        <f t="shared" si="1"/>
        <v>#REF!</v>
      </c>
      <c r="L64" s="25" t="e">
        <f>G64-K64</f>
        <v>#REF!</v>
      </c>
      <c r="M64" s="24" t="e">
        <f>ROUND(I64*H64,2)</f>
        <v>#REF!</v>
      </c>
      <c r="N64" s="21" t="e">
        <f>ROUND(J64*H64,2)</f>
        <v>#REF!</v>
      </c>
      <c r="O64" s="26" t="e">
        <f t="shared" si="2"/>
        <v>#REF!</v>
      </c>
      <c r="P64" s="26" t="e">
        <f>ROUND((G64*H64)-O64,2)</f>
        <v>#REF!</v>
      </c>
      <c r="Q64" s="85">
        <f>IFERROR(ROUND(O64/(G64*H64),2),0)</f>
        <v>0</v>
      </c>
    </row>
    <row r="65" spans="1:21" ht="199.8" x14ac:dyDescent="1.05">
      <c r="A65" s="19" t="s">
        <v>334</v>
      </c>
      <c r="B65" s="20" t="s">
        <v>53</v>
      </c>
      <c r="C65" s="21" t="s">
        <v>1</v>
      </c>
      <c r="D65" s="22">
        <v>100</v>
      </c>
      <c r="E65" s="22"/>
      <c r="F65" s="22"/>
      <c r="G65" s="22">
        <f t="shared" si="0"/>
        <v>100</v>
      </c>
      <c r="H65" s="24" t="e">
        <f>VLOOKUP(A65,#REF!,5,0)</f>
        <v>#REF!</v>
      </c>
      <c r="I65" s="25" t="e">
        <f>SUM(#REF!)</f>
        <v>#REF!</v>
      </c>
      <c r="J65" s="25" t="e">
        <f>SUMIF(#REF!,'MEDIÇÃO 39'!A65,#REF!)</f>
        <v>#REF!</v>
      </c>
      <c r="K65" s="25" t="e">
        <f t="shared" si="1"/>
        <v>#REF!</v>
      </c>
      <c r="L65" s="25" t="e">
        <f>G65-K65</f>
        <v>#REF!</v>
      </c>
      <c r="M65" s="24" t="e">
        <f>ROUND(I65*H65,2)</f>
        <v>#REF!</v>
      </c>
      <c r="N65" s="21" t="e">
        <f>ROUND(J65*H65,2)</f>
        <v>#REF!</v>
      </c>
      <c r="O65" s="26" t="e">
        <f t="shared" si="2"/>
        <v>#REF!</v>
      </c>
      <c r="P65" s="26" t="e">
        <f>ROUND((G65*H65)-O65,2)</f>
        <v>#REF!</v>
      </c>
      <c r="Q65" s="85">
        <f>IFERROR(ROUND(O65/(G65*H65),2),0)</f>
        <v>0</v>
      </c>
    </row>
    <row r="66" spans="1:21" ht="133.19999999999999" x14ac:dyDescent="1.05">
      <c r="A66" s="19" t="s">
        <v>335</v>
      </c>
      <c r="B66" s="20" t="s">
        <v>54</v>
      </c>
      <c r="C66" s="21" t="s">
        <v>1</v>
      </c>
      <c r="D66" s="22">
        <v>2</v>
      </c>
      <c r="E66" s="22"/>
      <c r="F66" s="22"/>
      <c r="G66" s="22">
        <f t="shared" si="0"/>
        <v>2</v>
      </c>
      <c r="H66" s="24" t="e">
        <f>VLOOKUP(A66,#REF!,5,0)</f>
        <v>#REF!</v>
      </c>
      <c r="I66" s="25" t="e">
        <f>SUM(#REF!)</f>
        <v>#REF!</v>
      </c>
      <c r="J66" s="25" t="e">
        <f>SUMIF(#REF!,'MEDIÇÃO 39'!A66,#REF!)</f>
        <v>#REF!</v>
      </c>
      <c r="K66" s="25" t="e">
        <f t="shared" si="1"/>
        <v>#REF!</v>
      </c>
      <c r="L66" s="25" t="e">
        <f>G66-K66</f>
        <v>#REF!</v>
      </c>
      <c r="M66" s="24" t="e">
        <f>ROUND(I66*H66,2)</f>
        <v>#REF!</v>
      </c>
      <c r="N66" s="21" t="e">
        <f>ROUND(J66*H66,2)</f>
        <v>#REF!</v>
      </c>
      <c r="O66" s="26" t="e">
        <f t="shared" si="2"/>
        <v>#REF!</v>
      </c>
      <c r="P66" s="26" t="e">
        <f>ROUND((G66*H66)-O66,2)</f>
        <v>#REF!</v>
      </c>
      <c r="Q66" s="85">
        <f>IFERROR(ROUND(O66/(G66*H66),2),0)</f>
        <v>0</v>
      </c>
      <c r="U66" s="95">
        <v>31178.48</v>
      </c>
    </row>
    <row r="67" spans="1:21" ht="133.19999999999999" x14ac:dyDescent="1.05">
      <c r="A67" s="19" t="s">
        <v>336</v>
      </c>
      <c r="B67" s="20" t="s">
        <v>55</v>
      </c>
      <c r="C67" s="21" t="s">
        <v>1</v>
      </c>
      <c r="D67" s="22">
        <v>2</v>
      </c>
      <c r="E67" s="22"/>
      <c r="F67" s="22"/>
      <c r="G67" s="22">
        <f t="shared" si="0"/>
        <v>2</v>
      </c>
      <c r="H67" s="24" t="e">
        <f>VLOOKUP(A67,#REF!,5,0)</f>
        <v>#REF!</v>
      </c>
      <c r="I67" s="25" t="e">
        <f>SUM(#REF!)</f>
        <v>#REF!</v>
      </c>
      <c r="J67" s="25" t="e">
        <f>SUMIF(#REF!,'MEDIÇÃO 39'!A67,#REF!)</f>
        <v>#REF!</v>
      </c>
      <c r="K67" s="25" t="e">
        <f t="shared" si="1"/>
        <v>#REF!</v>
      </c>
      <c r="L67" s="25" t="e">
        <f>G67-K67</f>
        <v>#REF!</v>
      </c>
      <c r="M67" s="24" t="e">
        <f>ROUND(I67*H67,2)</f>
        <v>#REF!</v>
      </c>
      <c r="N67" s="21" t="e">
        <f>ROUND(J67*H67,2)</f>
        <v>#REF!</v>
      </c>
      <c r="O67" s="26" t="e">
        <f t="shared" si="2"/>
        <v>#REF!</v>
      </c>
      <c r="P67" s="26" t="e">
        <f>ROUND((G67*H67)-O67,2)</f>
        <v>#REF!</v>
      </c>
      <c r="Q67" s="85">
        <f>IFERROR(ROUND(O67/(G67*H67),2),0)</f>
        <v>0</v>
      </c>
    </row>
    <row r="68" spans="1:21" ht="66.599999999999994" x14ac:dyDescent="1.05">
      <c r="A68" s="19" t="s">
        <v>337</v>
      </c>
      <c r="B68" s="20" t="s">
        <v>56</v>
      </c>
      <c r="C68" s="21" t="s">
        <v>1</v>
      </c>
      <c r="D68" s="22">
        <v>25</v>
      </c>
      <c r="E68" s="22"/>
      <c r="F68" s="22"/>
      <c r="G68" s="22">
        <f t="shared" si="0"/>
        <v>25</v>
      </c>
      <c r="H68" s="24" t="e">
        <f>VLOOKUP(A68,#REF!,5,0)</f>
        <v>#REF!</v>
      </c>
      <c r="I68" s="25" t="e">
        <f>SUM(#REF!)</f>
        <v>#REF!</v>
      </c>
      <c r="J68" s="25" t="e">
        <f>SUMIF(#REF!,'MEDIÇÃO 39'!A68,#REF!)</f>
        <v>#REF!</v>
      </c>
      <c r="K68" s="25" t="e">
        <f t="shared" si="1"/>
        <v>#REF!</v>
      </c>
      <c r="L68" s="25" t="e">
        <f>G68-K68</f>
        <v>#REF!</v>
      </c>
      <c r="M68" s="24" t="e">
        <f>ROUND(I68*H68,2)</f>
        <v>#REF!</v>
      </c>
      <c r="N68" s="21" t="e">
        <f>ROUND(J68*H68,2)</f>
        <v>#REF!</v>
      </c>
      <c r="O68" s="26" t="e">
        <f t="shared" si="2"/>
        <v>#REF!</v>
      </c>
      <c r="P68" s="26" t="e">
        <f>ROUND((G68*H68)-O68,2)</f>
        <v>#REF!</v>
      </c>
      <c r="Q68" s="85">
        <f>IFERROR(ROUND(O68/(G68*H68),2),0)</f>
        <v>0</v>
      </c>
    </row>
    <row r="69" spans="1:21" ht="133.19999999999999" x14ac:dyDescent="1.05">
      <c r="A69" s="19" t="s">
        <v>338</v>
      </c>
      <c r="B69" s="20" t="s">
        <v>57</v>
      </c>
      <c r="C69" s="21" t="s">
        <v>1</v>
      </c>
      <c r="D69" s="22">
        <v>25</v>
      </c>
      <c r="E69" s="22"/>
      <c r="F69" s="22"/>
      <c r="G69" s="22">
        <f t="shared" si="0"/>
        <v>25</v>
      </c>
      <c r="H69" s="24" t="e">
        <f>VLOOKUP(A69,#REF!,5,0)</f>
        <v>#REF!</v>
      </c>
      <c r="I69" s="25" t="e">
        <f>SUM(#REF!)</f>
        <v>#REF!</v>
      </c>
      <c r="J69" s="25" t="e">
        <f>SUMIF(#REF!,'MEDIÇÃO 39'!A69,#REF!)</f>
        <v>#REF!</v>
      </c>
      <c r="K69" s="25" t="e">
        <f t="shared" si="1"/>
        <v>#REF!</v>
      </c>
      <c r="L69" s="25" t="e">
        <f>G69-K69</f>
        <v>#REF!</v>
      </c>
      <c r="M69" s="24" t="e">
        <f>ROUND(I69*H69,2)</f>
        <v>#REF!</v>
      </c>
      <c r="N69" s="21" t="e">
        <f>ROUND(J69*H69,2)</f>
        <v>#REF!</v>
      </c>
      <c r="O69" s="26" t="e">
        <f t="shared" si="2"/>
        <v>#REF!</v>
      </c>
      <c r="P69" s="26" t="e">
        <f>ROUND((G69*H69)-O69,2)</f>
        <v>#REF!</v>
      </c>
      <c r="Q69" s="85">
        <f>IFERROR(ROUND(O69/(G69*H69),2),0)</f>
        <v>0</v>
      </c>
    </row>
    <row r="70" spans="1:21" ht="66.599999999999994" x14ac:dyDescent="1.05">
      <c r="A70" s="19" t="s">
        <v>339</v>
      </c>
      <c r="B70" s="20" t="s">
        <v>58</v>
      </c>
      <c r="C70" s="21" t="s">
        <v>1</v>
      </c>
      <c r="D70" s="22">
        <v>50</v>
      </c>
      <c r="E70" s="22"/>
      <c r="F70" s="22"/>
      <c r="G70" s="22">
        <f t="shared" si="0"/>
        <v>50</v>
      </c>
      <c r="H70" s="24" t="e">
        <f>VLOOKUP(A70,#REF!,5,0)</f>
        <v>#REF!</v>
      </c>
      <c r="I70" s="25" t="e">
        <f>SUM(#REF!)</f>
        <v>#REF!</v>
      </c>
      <c r="J70" s="25" t="e">
        <f>SUMIF(#REF!,'MEDIÇÃO 39'!A70,#REF!)</f>
        <v>#REF!</v>
      </c>
      <c r="K70" s="25" t="e">
        <f t="shared" si="1"/>
        <v>#REF!</v>
      </c>
      <c r="L70" s="25" t="e">
        <f>G70-K70</f>
        <v>#REF!</v>
      </c>
      <c r="M70" s="24" t="e">
        <f>ROUND(I70*H70,2)</f>
        <v>#REF!</v>
      </c>
      <c r="N70" s="21" t="e">
        <f>ROUND(J70*H70,2)</f>
        <v>#REF!</v>
      </c>
      <c r="O70" s="26" t="e">
        <f t="shared" si="2"/>
        <v>#REF!</v>
      </c>
      <c r="P70" s="26" t="e">
        <f>ROUND((G70*H70)-O70,2)</f>
        <v>#REF!</v>
      </c>
      <c r="Q70" s="85">
        <f>IFERROR(ROUND(O70/(G70*H70),2),0)</f>
        <v>0</v>
      </c>
    </row>
    <row r="71" spans="1:21" ht="66.599999999999994" x14ac:dyDescent="1.05">
      <c r="A71" s="19" t="s">
        <v>340</v>
      </c>
      <c r="B71" s="20" t="s">
        <v>59</v>
      </c>
      <c r="C71" s="21" t="s">
        <v>1</v>
      </c>
      <c r="D71" s="22">
        <v>25</v>
      </c>
      <c r="E71" s="22"/>
      <c r="F71" s="22"/>
      <c r="G71" s="22">
        <f t="shared" si="0"/>
        <v>25</v>
      </c>
      <c r="H71" s="24" t="e">
        <f>VLOOKUP(A71,#REF!,5,0)</f>
        <v>#REF!</v>
      </c>
      <c r="I71" s="25" t="e">
        <f>SUM(#REF!)</f>
        <v>#REF!</v>
      </c>
      <c r="J71" s="25" t="e">
        <f>SUMIF(#REF!,'MEDIÇÃO 39'!A71,#REF!)</f>
        <v>#REF!</v>
      </c>
      <c r="K71" s="25" t="e">
        <f t="shared" si="1"/>
        <v>#REF!</v>
      </c>
      <c r="L71" s="25" t="e">
        <f>G71-K71</f>
        <v>#REF!</v>
      </c>
      <c r="M71" s="24" t="e">
        <f>ROUND(I71*H71,2)</f>
        <v>#REF!</v>
      </c>
      <c r="N71" s="21" t="e">
        <f>ROUND(J71*H71,2)</f>
        <v>#REF!</v>
      </c>
      <c r="O71" s="26" t="e">
        <f t="shared" si="2"/>
        <v>#REF!</v>
      </c>
      <c r="P71" s="26" t="e">
        <f>ROUND((G71*H71)-O71,2)</f>
        <v>#REF!</v>
      </c>
      <c r="Q71" s="85">
        <f>IFERROR(ROUND(O71/(G71*H71),2),0)</f>
        <v>0</v>
      </c>
    </row>
    <row r="72" spans="1:21" ht="133.19999999999999" x14ac:dyDescent="1.05">
      <c r="A72" s="19" t="s">
        <v>341</v>
      </c>
      <c r="B72" s="62" t="s">
        <v>60</v>
      </c>
      <c r="C72" s="63" t="s">
        <v>279</v>
      </c>
      <c r="D72" s="64">
        <v>192</v>
      </c>
      <c r="E72" s="64"/>
      <c r="F72" s="64">
        <v>120</v>
      </c>
      <c r="G72" s="64">
        <f t="shared" si="0"/>
        <v>312</v>
      </c>
      <c r="H72" s="65" t="e">
        <f>VLOOKUP(A72,#REF!,5,0)</f>
        <v>#REF!</v>
      </c>
      <c r="I72" s="25" t="e">
        <f>SUM(#REF!)</f>
        <v>#REF!</v>
      </c>
      <c r="J72" s="66" t="e">
        <f>SUMIF(#REF!,'MEDIÇÃO 39'!A72,#REF!)</f>
        <v>#REF!</v>
      </c>
      <c r="K72" s="66" t="e">
        <f t="shared" si="1"/>
        <v>#REF!</v>
      </c>
      <c r="L72" s="25" t="e">
        <f>G72-K72</f>
        <v>#REF!</v>
      </c>
      <c r="M72" s="24" t="e">
        <f>ROUND(I72*H72,2)</f>
        <v>#REF!</v>
      </c>
      <c r="N72" s="21" t="e">
        <f>ROUND(J72*H72,2)</f>
        <v>#REF!</v>
      </c>
      <c r="O72" s="26" t="e">
        <f t="shared" si="2"/>
        <v>#REF!</v>
      </c>
      <c r="P72" s="26" t="e">
        <f>ROUND((G72*H72)-O72,2)</f>
        <v>#REF!</v>
      </c>
      <c r="Q72" s="85">
        <f>IFERROR(ROUND(O72/(G72*H72),2),0)</f>
        <v>0</v>
      </c>
      <c r="U72" s="95"/>
    </row>
    <row r="73" spans="1:21" ht="133.19999999999999" x14ac:dyDescent="1.05">
      <c r="A73" s="19" t="s">
        <v>342</v>
      </c>
      <c r="B73" s="20" t="s">
        <v>61</v>
      </c>
      <c r="C73" s="21" t="s">
        <v>279</v>
      </c>
      <c r="D73" s="22">
        <v>96</v>
      </c>
      <c r="E73" s="22"/>
      <c r="F73" s="22">
        <v>60</v>
      </c>
      <c r="G73" s="22">
        <f t="shared" si="0"/>
        <v>156</v>
      </c>
      <c r="H73" s="24" t="e">
        <f>VLOOKUP(A73,#REF!,5,0)</f>
        <v>#REF!</v>
      </c>
      <c r="I73" s="25" t="e">
        <f>SUM(#REF!)</f>
        <v>#REF!</v>
      </c>
      <c r="J73" s="25" t="e">
        <f>SUMIF(#REF!,'MEDIÇÃO 39'!A73,#REF!)</f>
        <v>#REF!</v>
      </c>
      <c r="K73" s="25" t="e">
        <f t="shared" si="1"/>
        <v>#REF!</v>
      </c>
      <c r="L73" s="25" t="e">
        <f>G73-K73</f>
        <v>#REF!</v>
      </c>
      <c r="M73" s="24" t="e">
        <f>ROUND(I73*H73,2)</f>
        <v>#REF!</v>
      </c>
      <c r="N73" s="21" t="e">
        <f>ROUND(J73*H73,2)</f>
        <v>#REF!</v>
      </c>
      <c r="O73" s="26" t="e">
        <f t="shared" si="2"/>
        <v>#REF!</v>
      </c>
      <c r="P73" s="26" t="e">
        <f>ROUND((G73*H73)-O73,2)</f>
        <v>#REF!</v>
      </c>
      <c r="Q73" s="85">
        <f>IFERROR(ROUND(O73/(G73*H73),2),0)</f>
        <v>0</v>
      </c>
    </row>
    <row r="74" spans="1:21" ht="66.599999999999994" x14ac:dyDescent="1.05">
      <c r="A74" s="19" t="s">
        <v>343</v>
      </c>
      <c r="B74" s="20" t="s">
        <v>62</v>
      </c>
      <c r="C74" s="21" t="s">
        <v>1</v>
      </c>
      <c r="D74" s="22">
        <v>4</v>
      </c>
      <c r="E74" s="22"/>
      <c r="F74" s="22"/>
      <c r="G74" s="22">
        <f t="shared" si="0"/>
        <v>4</v>
      </c>
      <c r="H74" s="24" t="e">
        <f>VLOOKUP(A74,#REF!,5,0)</f>
        <v>#REF!</v>
      </c>
      <c r="I74" s="25" t="e">
        <f>SUM(#REF!)</f>
        <v>#REF!</v>
      </c>
      <c r="J74" s="25" t="e">
        <f>SUMIF(#REF!,'MEDIÇÃO 39'!A74,#REF!)</f>
        <v>#REF!</v>
      </c>
      <c r="K74" s="25" t="e">
        <f t="shared" si="1"/>
        <v>#REF!</v>
      </c>
      <c r="L74" s="25" t="e">
        <f>G74-K74</f>
        <v>#REF!</v>
      </c>
      <c r="M74" s="24" t="e">
        <f>ROUND(I74*H74,2)</f>
        <v>#REF!</v>
      </c>
      <c r="N74" s="21" t="e">
        <f>ROUND(J74*H74,2)</f>
        <v>#REF!</v>
      </c>
      <c r="O74" s="26" t="e">
        <f t="shared" si="2"/>
        <v>#REF!</v>
      </c>
      <c r="P74" s="26" t="e">
        <f>ROUND((G74*H74)-O74,2)</f>
        <v>#REF!</v>
      </c>
      <c r="Q74" s="85">
        <f>IFERROR(ROUND(O74/(G74*H74),2),0)</f>
        <v>0</v>
      </c>
    </row>
    <row r="75" spans="1:21" ht="66.599999999999994" x14ac:dyDescent="1.05">
      <c r="A75" s="19" t="s">
        <v>344</v>
      </c>
      <c r="B75" s="20" t="s">
        <v>63</v>
      </c>
      <c r="C75" s="21" t="s">
        <v>1</v>
      </c>
      <c r="D75" s="22">
        <v>4</v>
      </c>
      <c r="E75" s="22"/>
      <c r="F75" s="22"/>
      <c r="G75" s="22">
        <f t="shared" si="0"/>
        <v>4</v>
      </c>
      <c r="H75" s="24" t="e">
        <f>VLOOKUP(A75,#REF!,5,0)</f>
        <v>#REF!</v>
      </c>
      <c r="I75" s="25" t="e">
        <f>SUM(#REF!)</f>
        <v>#REF!</v>
      </c>
      <c r="J75" s="25" t="e">
        <f>SUMIF(#REF!,'MEDIÇÃO 39'!A75,#REF!)</f>
        <v>#REF!</v>
      </c>
      <c r="K75" s="25" t="e">
        <f t="shared" si="1"/>
        <v>#REF!</v>
      </c>
      <c r="L75" s="25" t="e">
        <f>G75-K75</f>
        <v>#REF!</v>
      </c>
      <c r="M75" s="24" t="e">
        <f>ROUND(I75*H75,2)</f>
        <v>#REF!</v>
      </c>
      <c r="N75" s="21" t="e">
        <f>ROUND(J75*H75,2)</f>
        <v>#REF!</v>
      </c>
      <c r="O75" s="26" t="e">
        <f t="shared" si="2"/>
        <v>#REF!</v>
      </c>
      <c r="P75" s="26" t="e">
        <f>ROUND((G75*H75)-O75,2)</f>
        <v>#REF!</v>
      </c>
      <c r="Q75" s="85">
        <f>IFERROR(ROUND(O75/(G75*H75),2),0)</f>
        <v>0</v>
      </c>
    </row>
    <row r="76" spans="1:21" ht="133.19999999999999" x14ac:dyDescent="1.05">
      <c r="A76" s="19" t="s">
        <v>345</v>
      </c>
      <c r="B76" s="20" t="s">
        <v>64</v>
      </c>
      <c r="C76" s="21" t="s">
        <v>1</v>
      </c>
      <c r="D76" s="22">
        <v>15</v>
      </c>
      <c r="E76" s="22"/>
      <c r="F76" s="22"/>
      <c r="G76" s="22">
        <f t="shared" si="0"/>
        <v>15</v>
      </c>
      <c r="H76" s="24" t="e">
        <f>VLOOKUP(A76,#REF!,5,0)</f>
        <v>#REF!</v>
      </c>
      <c r="I76" s="25" t="e">
        <f>SUM(#REF!)</f>
        <v>#REF!</v>
      </c>
      <c r="J76" s="25" t="e">
        <f>SUMIF(#REF!,'MEDIÇÃO 39'!A76,#REF!)</f>
        <v>#REF!</v>
      </c>
      <c r="K76" s="25" t="e">
        <f t="shared" si="1"/>
        <v>#REF!</v>
      </c>
      <c r="L76" s="25" t="e">
        <f>G76-K76</f>
        <v>#REF!</v>
      </c>
      <c r="M76" s="24" t="e">
        <f>ROUND(I76*H76,2)</f>
        <v>#REF!</v>
      </c>
      <c r="N76" s="21" t="e">
        <f>ROUND(J76*H76,2)</f>
        <v>#REF!</v>
      </c>
      <c r="O76" s="26" t="e">
        <f t="shared" si="2"/>
        <v>#REF!</v>
      </c>
      <c r="P76" s="26" t="e">
        <f>ROUND((G76*H76)-O76,2)</f>
        <v>#REF!</v>
      </c>
      <c r="Q76" s="85">
        <f>IFERROR(ROUND(O76/(G76*H76),2),0)</f>
        <v>0</v>
      </c>
    </row>
    <row r="77" spans="1:21" ht="133.19999999999999" x14ac:dyDescent="1.05">
      <c r="A77" s="19" t="s">
        <v>346</v>
      </c>
      <c r="B77" s="20" t="s">
        <v>65</v>
      </c>
      <c r="C77" s="21" t="s">
        <v>1</v>
      </c>
      <c r="D77" s="22">
        <v>15</v>
      </c>
      <c r="E77" s="22"/>
      <c r="F77" s="22"/>
      <c r="G77" s="22">
        <f t="shared" si="0"/>
        <v>15</v>
      </c>
      <c r="H77" s="24" t="e">
        <f>VLOOKUP(A77,#REF!,5,0)</f>
        <v>#REF!</v>
      </c>
      <c r="I77" s="25" t="e">
        <f>SUM(#REF!)</f>
        <v>#REF!</v>
      </c>
      <c r="J77" s="25" t="e">
        <f>SUMIF(#REF!,'MEDIÇÃO 39'!A77,#REF!)</f>
        <v>#REF!</v>
      </c>
      <c r="K77" s="25" t="e">
        <f t="shared" si="1"/>
        <v>#REF!</v>
      </c>
      <c r="L77" s="25" t="e">
        <f>G77-K77</f>
        <v>#REF!</v>
      </c>
      <c r="M77" s="24" t="e">
        <f>ROUND(I77*H77,2)</f>
        <v>#REF!</v>
      </c>
      <c r="N77" s="21" t="e">
        <f>ROUND(J77*H77,2)</f>
        <v>#REF!</v>
      </c>
      <c r="O77" s="26" t="e">
        <f t="shared" si="2"/>
        <v>#REF!</v>
      </c>
      <c r="P77" s="26" t="e">
        <f>ROUND((G77*H77)-O77,2)</f>
        <v>#REF!</v>
      </c>
      <c r="Q77" s="85">
        <f>IFERROR(ROUND(O77/(G77*H77),2),0)</f>
        <v>0</v>
      </c>
    </row>
    <row r="78" spans="1:21" ht="133.19999999999999" x14ac:dyDescent="1.05">
      <c r="A78" s="19" t="s">
        <v>347</v>
      </c>
      <c r="B78" s="20" t="s">
        <v>66</v>
      </c>
      <c r="C78" s="21" t="s">
        <v>1</v>
      </c>
      <c r="D78" s="22">
        <v>2</v>
      </c>
      <c r="E78" s="22"/>
      <c r="F78" s="22"/>
      <c r="G78" s="22">
        <f t="shared" si="0"/>
        <v>2</v>
      </c>
      <c r="H78" s="24" t="e">
        <f>VLOOKUP(A78,#REF!,5,0)</f>
        <v>#REF!</v>
      </c>
      <c r="I78" s="25" t="e">
        <f>SUM(#REF!)</f>
        <v>#REF!</v>
      </c>
      <c r="J78" s="25" t="e">
        <f>SUMIF(#REF!,'MEDIÇÃO 39'!A78,#REF!)</f>
        <v>#REF!</v>
      </c>
      <c r="K78" s="25" t="e">
        <f t="shared" si="1"/>
        <v>#REF!</v>
      </c>
      <c r="L78" s="25" t="e">
        <f>G78-K78</f>
        <v>#REF!</v>
      </c>
      <c r="M78" s="24" t="e">
        <f>ROUND(I78*H78,2)</f>
        <v>#REF!</v>
      </c>
      <c r="N78" s="21" t="e">
        <f>ROUND(J78*H78,2)</f>
        <v>#REF!</v>
      </c>
      <c r="O78" s="26" t="e">
        <f t="shared" si="2"/>
        <v>#REF!</v>
      </c>
      <c r="P78" s="26" t="e">
        <f>ROUND((G78*H78)-O78,2)</f>
        <v>#REF!</v>
      </c>
      <c r="Q78" s="85">
        <f>IFERROR(ROUND(O78/(G78*H78),2),0)</f>
        <v>0</v>
      </c>
    </row>
    <row r="79" spans="1:21" ht="133.19999999999999" x14ac:dyDescent="1.05">
      <c r="A79" s="19" t="s">
        <v>348</v>
      </c>
      <c r="B79" s="20" t="s">
        <v>67</v>
      </c>
      <c r="C79" s="21" t="s">
        <v>276</v>
      </c>
      <c r="D79" s="22">
        <v>500</v>
      </c>
      <c r="E79" s="22"/>
      <c r="F79" s="22"/>
      <c r="G79" s="22">
        <f t="shared" si="0"/>
        <v>500</v>
      </c>
      <c r="H79" s="24" t="e">
        <f>VLOOKUP(A79,#REF!,5,0)</f>
        <v>#REF!</v>
      </c>
      <c r="I79" s="25" t="e">
        <f>SUM(#REF!)</f>
        <v>#REF!</v>
      </c>
      <c r="J79" s="25" t="e">
        <f>SUMIF(#REF!,'MEDIÇÃO 39'!A79,#REF!)</f>
        <v>#REF!</v>
      </c>
      <c r="K79" s="25" t="e">
        <f t="shared" si="1"/>
        <v>#REF!</v>
      </c>
      <c r="L79" s="25" t="e">
        <f>G79-K79</f>
        <v>#REF!</v>
      </c>
      <c r="M79" s="24" t="e">
        <f>ROUND(I79*H79,2)</f>
        <v>#REF!</v>
      </c>
      <c r="N79" s="21" t="e">
        <f>ROUND(J79*H79,2)</f>
        <v>#REF!</v>
      </c>
      <c r="O79" s="26" t="e">
        <f t="shared" si="2"/>
        <v>#REF!</v>
      </c>
      <c r="P79" s="26" t="e">
        <f>ROUND((G79*H79)-O79,2)</f>
        <v>#REF!</v>
      </c>
      <c r="Q79" s="85">
        <f>IFERROR(ROUND(O79/(G79*H79),2),0)</f>
        <v>0</v>
      </c>
    </row>
    <row r="80" spans="1:21" ht="199.8" x14ac:dyDescent="1.05">
      <c r="A80" s="19" t="s">
        <v>349</v>
      </c>
      <c r="B80" s="20" t="s">
        <v>68</v>
      </c>
      <c r="C80" s="21" t="s">
        <v>276</v>
      </c>
      <c r="D80" s="22">
        <v>500</v>
      </c>
      <c r="E80" s="22"/>
      <c r="F80" s="22"/>
      <c r="G80" s="22">
        <f t="shared" si="0"/>
        <v>500</v>
      </c>
      <c r="H80" s="24" t="e">
        <f>VLOOKUP(A80,#REF!,5,0)</f>
        <v>#REF!</v>
      </c>
      <c r="I80" s="25" t="e">
        <f>SUM(#REF!)</f>
        <v>#REF!</v>
      </c>
      <c r="J80" s="25" t="e">
        <f>SUMIF(#REF!,'MEDIÇÃO 39'!A80,#REF!)</f>
        <v>#REF!</v>
      </c>
      <c r="K80" s="25" t="e">
        <f t="shared" ref="K80:K143" si="3">I80+J80</f>
        <v>#REF!</v>
      </c>
      <c r="L80" s="25" t="e">
        <f>G80-K80</f>
        <v>#REF!</v>
      </c>
      <c r="M80" s="24" t="e">
        <f>ROUND(I80*H80,2)</f>
        <v>#REF!</v>
      </c>
      <c r="N80" s="21" t="e">
        <f>ROUND(J80*H80,2)</f>
        <v>#REF!</v>
      </c>
      <c r="O80" s="26" t="e">
        <f t="shared" ref="O80:O143" si="4">ROUND(M80+N80,2)</f>
        <v>#REF!</v>
      </c>
      <c r="P80" s="26" t="e">
        <f>ROUND((G80*H80)-O80,2)</f>
        <v>#REF!</v>
      </c>
      <c r="Q80" s="85">
        <f>IFERROR(ROUND(O80/(G80*H80),2),0)</f>
        <v>0</v>
      </c>
    </row>
    <row r="81" spans="1:21" ht="133.19999999999999" x14ac:dyDescent="1.05">
      <c r="A81" s="19" t="s">
        <v>350</v>
      </c>
      <c r="B81" s="20" t="s">
        <v>69</v>
      </c>
      <c r="C81" s="21" t="s">
        <v>1</v>
      </c>
      <c r="D81" s="22">
        <v>25</v>
      </c>
      <c r="E81" s="22"/>
      <c r="F81" s="22"/>
      <c r="G81" s="22">
        <f t="shared" ref="G81:G144" si="5">SUM(D81:F81)</f>
        <v>25</v>
      </c>
      <c r="H81" s="24" t="e">
        <f>VLOOKUP(A81,#REF!,5,0)</f>
        <v>#REF!</v>
      </c>
      <c r="I81" s="25" t="e">
        <f>SUM(#REF!)</f>
        <v>#REF!</v>
      </c>
      <c r="J81" s="25" t="e">
        <f>SUMIF(#REF!,'MEDIÇÃO 39'!A81,#REF!)</f>
        <v>#REF!</v>
      </c>
      <c r="K81" s="25" t="e">
        <f t="shared" si="3"/>
        <v>#REF!</v>
      </c>
      <c r="L81" s="25" t="e">
        <f>G81-K81</f>
        <v>#REF!</v>
      </c>
      <c r="M81" s="24" t="e">
        <f>ROUND(I81*H81,2)</f>
        <v>#REF!</v>
      </c>
      <c r="N81" s="21" t="e">
        <f>ROUND(J81*H81,2)</f>
        <v>#REF!</v>
      </c>
      <c r="O81" s="26" t="e">
        <f t="shared" si="4"/>
        <v>#REF!</v>
      </c>
      <c r="P81" s="26" t="e">
        <f>ROUND((G81*H81)-O81,2)</f>
        <v>#REF!</v>
      </c>
      <c r="Q81" s="85">
        <f>IFERROR(ROUND(O81/(G81*H81),2),0)</f>
        <v>0</v>
      </c>
    </row>
    <row r="82" spans="1:21" ht="133.19999999999999" x14ac:dyDescent="1.05">
      <c r="A82" s="19" t="s">
        <v>351</v>
      </c>
      <c r="B82" s="20" t="s">
        <v>70</v>
      </c>
      <c r="C82" s="21" t="s">
        <v>276</v>
      </c>
      <c r="D82" s="22">
        <v>50</v>
      </c>
      <c r="E82" s="22"/>
      <c r="F82" s="22">
        <v>3300</v>
      </c>
      <c r="G82" s="22">
        <f t="shared" si="5"/>
        <v>3350</v>
      </c>
      <c r="H82" s="24" t="e">
        <f>VLOOKUP(A82,#REF!,5,0)</f>
        <v>#REF!</v>
      </c>
      <c r="I82" s="25" t="e">
        <f>SUM(#REF!)</f>
        <v>#REF!</v>
      </c>
      <c r="J82" s="25" t="e">
        <f>SUMIF(#REF!,'MEDIÇÃO 39'!A82,#REF!)</f>
        <v>#REF!</v>
      </c>
      <c r="K82" s="25" t="e">
        <f t="shared" si="3"/>
        <v>#REF!</v>
      </c>
      <c r="L82" s="25" t="e">
        <f>G82-K82</f>
        <v>#REF!</v>
      </c>
      <c r="M82" s="24" t="e">
        <f>ROUND(I82*H82,2)</f>
        <v>#REF!</v>
      </c>
      <c r="N82" s="21" t="e">
        <f>ROUND(J82*H82,2)</f>
        <v>#REF!</v>
      </c>
      <c r="O82" s="26" t="e">
        <f t="shared" si="4"/>
        <v>#REF!</v>
      </c>
      <c r="P82" s="26" t="e">
        <f>ROUND((G82*H82)-O82,2)</f>
        <v>#REF!</v>
      </c>
      <c r="Q82" s="85">
        <f>IFERROR(ROUND(O82/(G82*H82),2),0)</f>
        <v>0</v>
      </c>
      <c r="U82" s="95"/>
    </row>
    <row r="83" spans="1:21" ht="66.599999999999994" x14ac:dyDescent="1.05">
      <c r="A83" s="19" t="s">
        <v>352</v>
      </c>
      <c r="B83" s="20" t="s">
        <v>71</v>
      </c>
      <c r="C83" s="21" t="s">
        <v>277</v>
      </c>
      <c r="D83" s="22">
        <v>65</v>
      </c>
      <c r="E83" s="22"/>
      <c r="F83" s="22"/>
      <c r="G83" s="22">
        <f t="shared" si="5"/>
        <v>65</v>
      </c>
      <c r="H83" s="24" t="e">
        <f>VLOOKUP(A83,#REF!,5,0)</f>
        <v>#REF!</v>
      </c>
      <c r="I83" s="25" t="e">
        <f>SUM(#REF!)</f>
        <v>#REF!</v>
      </c>
      <c r="J83" s="25" t="e">
        <f>SUMIF(#REF!,'MEDIÇÃO 39'!A83,#REF!)</f>
        <v>#REF!</v>
      </c>
      <c r="K83" s="25" t="e">
        <f t="shared" si="3"/>
        <v>#REF!</v>
      </c>
      <c r="L83" s="25" t="e">
        <f>G83-K83</f>
        <v>#REF!</v>
      </c>
      <c r="M83" s="24" t="e">
        <f>ROUND(I83*H83,2)</f>
        <v>#REF!</v>
      </c>
      <c r="N83" s="21" t="e">
        <f>ROUND(J83*H83,2)</f>
        <v>#REF!</v>
      </c>
      <c r="O83" s="26" t="e">
        <f t="shared" si="4"/>
        <v>#REF!</v>
      </c>
      <c r="P83" s="26" t="e">
        <f>ROUND((G83*H83)-O83,2)</f>
        <v>#REF!</v>
      </c>
      <c r="Q83" s="85">
        <f>IFERROR(ROUND(O83/(G83*H83),2),0)</f>
        <v>0</v>
      </c>
    </row>
    <row r="84" spans="1:21" ht="66.599999999999994" x14ac:dyDescent="1.05">
      <c r="A84" s="19" t="s">
        <v>353</v>
      </c>
      <c r="B84" s="20" t="s">
        <v>72</v>
      </c>
      <c r="C84" s="21" t="s">
        <v>276</v>
      </c>
      <c r="D84" s="22">
        <v>5</v>
      </c>
      <c r="E84" s="22"/>
      <c r="F84" s="22"/>
      <c r="G84" s="22">
        <f t="shared" si="5"/>
        <v>5</v>
      </c>
      <c r="H84" s="24" t="e">
        <f>VLOOKUP(A84,#REF!,5,0)</f>
        <v>#REF!</v>
      </c>
      <c r="I84" s="25" t="e">
        <f>SUM(#REF!)</f>
        <v>#REF!</v>
      </c>
      <c r="J84" s="25" t="e">
        <f>SUMIF(#REF!,'MEDIÇÃO 39'!A84,#REF!)</f>
        <v>#REF!</v>
      </c>
      <c r="K84" s="25" t="e">
        <f t="shared" si="3"/>
        <v>#REF!</v>
      </c>
      <c r="L84" s="25" t="e">
        <f>G84-K84</f>
        <v>#REF!</v>
      </c>
      <c r="M84" s="24" t="e">
        <f>ROUND(I84*H84,2)</f>
        <v>#REF!</v>
      </c>
      <c r="N84" s="21" t="e">
        <f>ROUND(J84*H84,2)</f>
        <v>#REF!</v>
      </c>
      <c r="O84" s="26" t="e">
        <f t="shared" si="4"/>
        <v>#REF!</v>
      </c>
      <c r="P84" s="26" t="e">
        <f>ROUND((G84*H84)-O84,2)</f>
        <v>#REF!</v>
      </c>
      <c r="Q84" s="85">
        <f>IFERROR(ROUND(O84/(G84*H84),2),0)</f>
        <v>0</v>
      </c>
    </row>
    <row r="85" spans="1:21" ht="133.19999999999999" x14ac:dyDescent="1.05">
      <c r="A85" s="19" t="s">
        <v>354</v>
      </c>
      <c r="B85" s="20" t="s">
        <v>73</v>
      </c>
      <c r="C85" s="21" t="s">
        <v>276</v>
      </c>
      <c r="D85" s="22">
        <v>32</v>
      </c>
      <c r="E85" s="22"/>
      <c r="F85" s="22"/>
      <c r="G85" s="22">
        <f t="shared" si="5"/>
        <v>32</v>
      </c>
      <c r="H85" s="24" t="e">
        <f>VLOOKUP(A85,#REF!,5,0)</f>
        <v>#REF!</v>
      </c>
      <c r="I85" s="25" t="e">
        <f>SUM(#REF!)</f>
        <v>#REF!</v>
      </c>
      <c r="J85" s="25" t="e">
        <f>SUMIF(#REF!,'MEDIÇÃO 39'!A85,#REF!)</f>
        <v>#REF!</v>
      </c>
      <c r="K85" s="25" t="e">
        <f t="shared" si="3"/>
        <v>#REF!</v>
      </c>
      <c r="L85" s="25" t="e">
        <f>G85-K85</f>
        <v>#REF!</v>
      </c>
      <c r="M85" s="24" t="e">
        <f>ROUND(I85*H85,2)</f>
        <v>#REF!</v>
      </c>
      <c r="N85" s="21" t="e">
        <f>ROUND(J85*H85,2)</f>
        <v>#REF!</v>
      </c>
      <c r="O85" s="26" t="e">
        <f t="shared" si="4"/>
        <v>#REF!</v>
      </c>
      <c r="P85" s="26" t="e">
        <f>ROUND((G85*H85)-O85,2)</f>
        <v>#REF!</v>
      </c>
      <c r="Q85" s="85">
        <f>IFERROR(ROUND(O85/(G85*H85),2),0)</f>
        <v>0</v>
      </c>
    </row>
    <row r="86" spans="1:21" ht="66.599999999999994" x14ac:dyDescent="1.05">
      <c r="A86" s="19" t="s">
        <v>355</v>
      </c>
      <c r="B86" s="20" t="s">
        <v>74</v>
      </c>
      <c r="C86" s="21" t="s">
        <v>280</v>
      </c>
      <c r="D86" s="22">
        <v>1</v>
      </c>
      <c r="E86" s="22"/>
      <c r="F86" s="22"/>
      <c r="G86" s="22">
        <f t="shared" si="5"/>
        <v>1</v>
      </c>
      <c r="H86" s="24" t="e">
        <f>VLOOKUP(A86,#REF!,5,0)</f>
        <v>#REF!</v>
      </c>
      <c r="I86" s="25" t="e">
        <f>SUM(#REF!)</f>
        <v>#REF!</v>
      </c>
      <c r="J86" s="25" t="e">
        <f>SUMIF(#REF!,'MEDIÇÃO 39'!A86,#REF!)</f>
        <v>#REF!</v>
      </c>
      <c r="K86" s="25" t="e">
        <f t="shared" si="3"/>
        <v>#REF!</v>
      </c>
      <c r="L86" s="25" t="e">
        <f>G86-K86</f>
        <v>#REF!</v>
      </c>
      <c r="M86" s="24" t="e">
        <f>ROUND(I86*H86,2)</f>
        <v>#REF!</v>
      </c>
      <c r="N86" s="21" t="e">
        <f>ROUND(J86*H86,2)</f>
        <v>#REF!</v>
      </c>
      <c r="O86" s="26" t="e">
        <f t="shared" si="4"/>
        <v>#REF!</v>
      </c>
      <c r="P86" s="26" t="e">
        <f>ROUND((G86*H86)-O86,2)</f>
        <v>#REF!</v>
      </c>
      <c r="Q86" s="85">
        <f>IFERROR(ROUND(O86/(G86*H86),2),0)</f>
        <v>0</v>
      </c>
    </row>
    <row r="87" spans="1:21" ht="66.599999999999994" x14ac:dyDescent="1.05">
      <c r="A87" s="19" t="s">
        <v>356</v>
      </c>
      <c r="B87" s="20" t="s">
        <v>75</v>
      </c>
      <c r="C87" s="21" t="s">
        <v>1</v>
      </c>
      <c r="D87" s="22">
        <v>1222</v>
      </c>
      <c r="E87" s="22"/>
      <c r="F87" s="22"/>
      <c r="G87" s="22">
        <f t="shared" si="5"/>
        <v>1222</v>
      </c>
      <c r="H87" s="24" t="e">
        <f>VLOOKUP(A87,#REF!,5,0)</f>
        <v>#REF!</v>
      </c>
      <c r="I87" s="25" t="e">
        <f>SUM(#REF!)</f>
        <v>#REF!</v>
      </c>
      <c r="J87" s="25" t="e">
        <f>SUMIF(#REF!,'MEDIÇÃO 39'!A87,#REF!)</f>
        <v>#REF!</v>
      </c>
      <c r="K87" s="25" t="e">
        <f t="shared" si="3"/>
        <v>#REF!</v>
      </c>
      <c r="L87" s="25" t="e">
        <f>G87-K87</f>
        <v>#REF!</v>
      </c>
      <c r="M87" s="24" t="e">
        <f>ROUND(I87*H87,2)</f>
        <v>#REF!</v>
      </c>
      <c r="N87" s="21" t="e">
        <f>ROUND(J87*H87,2)</f>
        <v>#REF!</v>
      </c>
      <c r="O87" s="26" t="e">
        <f t="shared" si="4"/>
        <v>#REF!</v>
      </c>
      <c r="P87" s="26" t="e">
        <f>ROUND((G87*H87)-O87,2)</f>
        <v>#REF!</v>
      </c>
      <c r="Q87" s="85">
        <f>IFERROR(ROUND(O87/(G87*H87),2),0)</f>
        <v>0</v>
      </c>
    </row>
    <row r="88" spans="1:21" ht="133.19999999999999" x14ac:dyDescent="1.05">
      <c r="A88" s="19" t="s">
        <v>357</v>
      </c>
      <c r="B88" s="20" t="s">
        <v>76</v>
      </c>
      <c r="C88" s="21" t="s">
        <v>1</v>
      </c>
      <c r="D88" s="22">
        <v>175</v>
      </c>
      <c r="E88" s="22"/>
      <c r="F88" s="22"/>
      <c r="G88" s="22">
        <f t="shared" si="5"/>
        <v>175</v>
      </c>
      <c r="H88" s="24" t="e">
        <f>VLOOKUP(A88,#REF!,5,0)</f>
        <v>#REF!</v>
      </c>
      <c r="I88" s="25" t="e">
        <f>SUM(#REF!)</f>
        <v>#REF!</v>
      </c>
      <c r="J88" s="25" t="e">
        <f>SUMIF(#REF!,'MEDIÇÃO 39'!A88,#REF!)</f>
        <v>#REF!</v>
      </c>
      <c r="K88" s="25" t="e">
        <f t="shared" si="3"/>
        <v>#REF!</v>
      </c>
      <c r="L88" s="25" t="e">
        <f>G88-K88</f>
        <v>#REF!</v>
      </c>
      <c r="M88" s="24" t="e">
        <f>ROUND(I88*H88,2)</f>
        <v>#REF!</v>
      </c>
      <c r="N88" s="21" t="e">
        <f>ROUND(J88*H88,2)</f>
        <v>#REF!</v>
      </c>
      <c r="O88" s="26" t="e">
        <f t="shared" si="4"/>
        <v>#REF!</v>
      </c>
      <c r="P88" s="26" t="e">
        <f>ROUND((G88*H88)-O88,2)</f>
        <v>#REF!</v>
      </c>
      <c r="Q88" s="85">
        <f>IFERROR(ROUND(O88/(G88*H88),2),0)</f>
        <v>0</v>
      </c>
    </row>
    <row r="89" spans="1:21" ht="199.8" x14ac:dyDescent="1.05">
      <c r="A89" s="19" t="s">
        <v>358</v>
      </c>
      <c r="B89" s="20" t="s">
        <v>77</v>
      </c>
      <c r="C89" s="21" t="s">
        <v>1</v>
      </c>
      <c r="D89" s="22">
        <v>250</v>
      </c>
      <c r="E89" s="22"/>
      <c r="F89" s="22"/>
      <c r="G89" s="22">
        <f t="shared" si="5"/>
        <v>250</v>
      </c>
      <c r="H89" s="24" t="e">
        <f>VLOOKUP(A89,#REF!,5,0)</f>
        <v>#REF!</v>
      </c>
      <c r="I89" s="25" t="e">
        <f>SUM(#REF!)</f>
        <v>#REF!</v>
      </c>
      <c r="J89" s="25" t="e">
        <f>SUMIF(#REF!,'MEDIÇÃO 39'!A89,#REF!)</f>
        <v>#REF!</v>
      </c>
      <c r="K89" s="25" t="e">
        <f t="shared" si="3"/>
        <v>#REF!</v>
      </c>
      <c r="L89" s="25" t="e">
        <f>G89-K89</f>
        <v>#REF!</v>
      </c>
      <c r="M89" s="24" t="e">
        <f>ROUND(I89*H89,2)</f>
        <v>#REF!</v>
      </c>
      <c r="N89" s="21" t="e">
        <f>ROUND(J89*H89,2)</f>
        <v>#REF!</v>
      </c>
      <c r="O89" s="26" t="e">
        <f t="shared" si="4"/>
        <v>#REF!</v>
      </c>
      <c r="P89" s="26" t="e">
        <f>ROUND((G89*H89)-O89,2)</f>
        <v>#REF!</v>
      </c>
      <c r="Q89" s="85">
        <f>IFERROR(ROUND(O89/(G89*H89),2),0)</f>
        <v>0</v>
      </c>
    </row>
    <row r="90" spans="1:21" ht="133.19999999999999" x14ac:dyDescent="1.05">
      <c r="A90" s="19" t="s">
        <v>359</v>
      </c>
      <c r="B90" s="20" t="s">
        <v>78</v>
      </c>
      <c r="C90" s="21" t="s">
        <v>1</v>
      </c>
      <c r="D90" s="22">
        <v>5</v>
      </c>
      <c r="E90" s="22"/>
      <c r="F90" s="22"/>
      <c r="G90" s="22">
        <f t="shared" si="5"/>
        <v>5</v>
      </c>
      <c r="H90" s="24" t="e">
        <f>VLOOKUP(A90,#REF!,5,0)</f>
        <v>#REF!</v>
      </c>
      <c r="I90" s="25" t="e">
        <f>SUM(#REF!)</f>
        <v>#REF!</v>
      </c>
      <c r="J90" s="25" t="e">
        <f>SUMIF(#REF!,'MEDIÇÃO 39'!A90,#REF!)</f>
        <v>#REF!</v>
      </c>
      <c r="K90" s="25" t="e">
        <f t="shared" si="3"/>
        <v>#REF!</v>
      </c>
      <c r="L90" s="25" t="e">
        <f>G90-K90</f>
        <v>#REF!</v>
      </c>
      <c r="M90" s="24" t="e">
        <f>ROUND(I90*H90,2)</f>
        <v>#REF!</v>
      </c>
      <c r="N90" s="21" t="e">
        <f>ROUND(J90*H90,2)</f>
        <v>#REF!</v>
      </c>
      <c r="O90" s="26" t="e">
        <f t="shared" si="4"/>
        <v>#REF!</v>
      </c>
      <c r="P90" s="26" t="e">
        <f>ROUND((G90*H90)-O90,2)</f>
        <v>#REF!</v>
      </c>
      <c r="Q90" s="85">
        <f>IFERROR(ROUND(O90/(G90*H90),2),0)</f>
        <v>0</v>
      </c>
    </row>
    <row r="91" spans="1:21" ht="66.599999999999994" x14ac:dyDescent="1.05">
      <c r="A91" s="19" t="s">
        <v>360</v>
      </c>
      <c r="B91" s="20" t="s">
        <v>79</v>
      </c>
      <c r="C91" s="21" t="s">
        <v>1</v>
      </c>
      <c r="D91" s="22">
        <v>12</v>
      </c>
      <c r="E91" s="22"/>
      <c r="F91" s="22"/>
      <c r="G91" s="22">
        <f t="shared" si="5"/>
        <v>12</v>
      </c>
      <c r="H91" s="24" t="e">
        <f>VLOOKUP(A91,#REF!,5,0)</f>
        <v>#REF!</v>
      </c>
      <c r="I91" s="25" t="e">
        <f>SUM(#REF!)</f>
        <v>#REF!</v>
      </c>
      <c r="J91" s="25" t="e">
        <f>SUMIF(#REF!,'MEDIÇÃO 39'!A91,#REF!)</f>
        <v>#REF!</v>
      </c>
      <c r="K91" s="25" t="e">
        <f t="shared" si="3"/>
        <v>#REF!</v>
      </c>
      <c r="L91" s="25" t="e">
        <f>G91-K91</f>
        <v>#REF!</v>
      </c>
      <c r="M91" s="24" t="e">
        <f>ROUND(I91*H91,2)</f>
        <v>#REF!</v>
      </c>
      <c r="N91" s="21" t="e">
        <f>ROUND(J91*H91,2)</f>
        <v>#REF!</v>
      </c>
      <c r="O91" s="26" t="e">
        <f t="shared" si="4"/>
        <v>#REF!</v>
      </c>
      <c r="P91" s="26" t="e">
        <f>ROUND((G91*H91)-O91,2)</f>
        <v>#REF!</v>
      </c>
      <c r="Q91" s="85">
        <f>IFERROR(ROUND(O91/(G91*H91),2),0)</f>
        <v>0</v>
      </c>
    </row>
    <row r="92" spans="1:21" ht="66.599999999999994" x14ac:dyDescent="1.05">
      <c r="A92" s="19" t="s">
        <v>361</v>
      </c>
      <c r="B92" s="20" t="s">
        <v>80</v>
      </c>
      <c r="C92" s="21" t="s">
        <v>1</v>
      </c>
      <c r="D92" s="22">
        <v>10</v>
      </c>
      <c r="E92" s="22"/>
      <c r="F92" s="22"/>
      <c r="G92" s="22">
        <f t="shared" si="5"/>
        <v>10</v>
      </c>
      <c r="H92" s="24" t="e">
        <f>VLOOKUP(A92,#REF!,5,0)</f>
        <v>#REF!</v>
      </c>
      <c r="I92" s="25" t="e">
        <f>SUM(#REF!)</f>
        <v>#REF!</v>
      </c>
      <c r="J92" s="25" t="e">
        <f>SUMIF(#REF!,'MEDIÇÃO 39'!A92,#REF!)</f>
        <v>#REF!</v>
      </c>
      <c r="K92" s="25" t="e">
        <f t="shared" si="3"/>
        <v>#REF!</v>
      </c>
      <c r="L92" s="25" t="e">
        <f>G92-K92</f>
        <v>#REF!</v>
      </c>
      <c r="M92" s="24" t="e">
        <f>ROUND(I92*H92,2)</f>
        <v>#REF!</v>
      </c>
      <c r="N92" s="21" t="e">
        <f>ROUND(J92*H92,2)</f>
        <v>#REF!</v>
      </c>
      <c r="O92" s="26" t="e">
        <f t="shared" si="4"/>
        <v>#REF!</v>
      </c>
      <c r="P92" s="26" t="e">
        <f>ROUND((G92*H92)-O92,2)</f>
        <v>#REF!</v>
      </c>
      <c r="Q92" s="85">
        <f>IFERROR(ROUND(O92/(G92*H92),2),0)</f>
        <v>0</v>
      </c>
    </row>
    <row r="93" spans="1:21" ht="133.19999999999999" x14ac:dyDescent="1.05">
      <c r="A93" s="19" t="s">
        <v>362</v>
      </c>
      <c r="B93" s="20" t="s">
        <v>81</v>
      </c>
      <c r="C93" s="21" t="s">
        <v>1</v>
      </c>
      <c r="D93" s="22">
        <v>1047.45</v>
      </c>
      <c r="E93" s="22"/>
      <c r="F93" s="22"/>
      <c r="G93" s="22">
        <f t="shared" si="5"/>
        <v>1047.45</v>
      </c>
      <c r="H93" s="24" t="e">
        <f>VLOOKUP(A93,#REF!,5,0)</f>
        <v>#REF!</v>
      </c>
      <c r="I93" s="25" t="e">
        <f>SUM(#REF!)</f>
        <v>#REF!</v>
      </c>
      <c r="J93" s="25" t="e">
        <f>SUMIF(#REF!,'MEDIÇÃO 39'!A93,#REF!)</f>
        <v>#REF!</v>
      </c>
      <c r="K93" s="25" t="e">
        <f t="shared" si="3"/>
        <v>#REF!</v>
      </c>
      <c r="L93" s="25" t="e">
        <f>G93-K93</f>
        <v>#REF!</v>
      </c>
      <c r="M93" s="24" t="e">
        <f>ROUND(I93*H93,2)</f>
        <v>#REF!</v>
      </c>
      <c r="N93" s="21" t="e">
        <f>ROUND(J93*H93,2)</f>
        <v>#REF!</v>
      </c>
      <c r="O93" s="26" t="e">
        <f t="shared" si="4"/>
        <v>#REF!</v>
      </c>
      <c r="P93" s="26" t="e">
        <f>ROUND((G93*H93)-O93,2)</f>
        <v>#REF!</v>
      </c>
      <c r="Q93" s="85">
        <f>IFERROR(ROUND(O93/(G93*H93),2),0)</f>
        <v>0</v>
      </c>
    </row>
    <row r="94" spans="1:21" ht="133.19999999999999" x14ac:dyDescent="1.05">
      <c r="A94" s="19" t="s">
        <v>363</v>
      </c>
      <c r="B94" s="20" t="s">
        <v>82</v>
      </c>
      <c r="C94" s="21" t="s">
        <v>1</v>
      </c>
      <c r="D94" s="22">
        <v>10</v>
      </c>
      <c r="E94" s="22"/>
      <c r="F94" s="22"/>
      <c r="G94" s="22">
        <f t="shared" si="5"/>
        <v>10</v>
      </c>
      <c r="H94" s="24" t="e">
        <f>VLOOKUP(A94,#REF!,5,0)</f>
        <v>#REF!</v>
      </c>
      <c r="I94" s="25" t="e">
        <f>SUM(#REF!)</f>
        <v>#REF!</v>
      </c>
      <c r="J94" s="25" t="e">
        <f>SUMIF(#REF!,'MEDIÇÃO 39'!A94,#REF!)</f>
        <v>#REF!</v>
      </c>
      <c r="K94" s="25" t="e">
        <f t="shared" si="3"/>
        <v>#REF!</v>
      </c>
      <c r="L94" s="25" t="e">
        <f>G94-K94</f>
        <v>#REF!</v>
      </c>
      <c r="M94" s="24" t="e">
        <f>ROUND(I94*H94,2)</f>
        <v>#REF!</v>
      </c>
      <c r="N94" s="21" t="e">
        <f>ROUND(J94*H94,2)</f>
        <v>#REF!</v>
      </c>
      <c r="O94" s="26" t="e">
        <f t="shared" si="4"/>
        <v>#REF!</v>
      </c>
      <c r="P94" s="26" t="e">
        <f>ROUND((G94*H94)-O94,2)</f>
        <v>#REF!</v>
      </c>
      <c r="Q94" s="85">
        <f>IFERROR(ROUND(O94/(G94*H94),2),0)</f>
        <v>0</v>
      </c>
    </row>
    <row r="95" spans="1:21" ht="66.599999999999994" x14ac:dyDescent="1.05">
      <c r="A95" s="19" t="s">
        <v>364</v>
      </c>
      <c r="B95" s="20" t="s">
        <v>83</v>
      </c>
      <c r="C95" s="21" t="s">
        <v>1</v>
      </c>
      <c r="D95" s="22">
        <v>2634</v>
      </c>
      <c r="E95" s="22"/>
      <c r="F95" s="22"/>
      <c r="G95" s="22">
        <f t="shared" si="5"/>
        <v>2634</v>
      </c>
      <c r="H95" s="24" t="e">
        <f>VLOOKUP(A95,#REF!,5,0)</f>
        <v>#REF!</v>
      </c>
      <c r="I95" s="25" t="e">
        <f>SUM(#REF!)</f>
        <v>#REF!</v>
      </c>
      <c r="J95" s="25" t="e">
        <f>SUMIF(#REF!,'MEDIÇÃO 39'!A95,#REF!)</f>
        <v>#REF!</v>
      </c>
      <c r="K95" s="25" t="e">
        <f t="shared" si="3"/>
        <v>#REF!</v>
      </c>
      <c r="L95" s="25" t="e">
        <f>G95-K95</f>
        <v>#REF!</v>
      </c>
      <c r="M95" s="24" t="e">
        <f>ROUND(I95*H95,2)</f>
        <v>#REF!</v>
      </c>
      <c r="N95" s="21" t="e">
        <f>ROUND(J95*H95,2)</f>
        <v>#REF!</v>
      </c>
      <c r="O95" s="26" t="e">
        <f t="shared" si="4"/>
        <v>#REF!</v>
      </c>
      <c r="P95" s="26" t="e">
        <f>ROUND((G95*H95)-O95,2)</f>
        <v>#REF!</v>
      </c>
      <c r="Q95" s="85">
        <f>IFERROR(ROUND(O95/(G95*H95),2),0)</f>
        <v>0</v>
      </c>
    </row>
    <row r="96" spans="1:21" ht="66.599999999999994" x14ac:dyDescent="1.05">
      <c r="A96" s="19" t="s">
        <v>365</v>
      </c>
      <c r="B96" s="20" t="s">
        <v>84</v>
      </c>
      <c r="C96" s="21" t="s">
        <v>278</v>
      </c>
      <c r="D96" s="22">
        <v>5</v>
      </c>
      <c r="E96" s="22"/>
      <c r="F96" s="22"/>
      <c r="G96" s="22">
        <f t="shared" si="5"/>
        <v>5</v>
      </c>
      <c r="H96" s="24" t="e">
        <f>VLOOKUP(A96,#REF!,5,0)</f>
        <v>#REF!</v>
      </c>
      <c r="I96" s="25" t="e">
        <f>SUM(#REF!)</f>
        <v>#REF!</v>
      </c>
      <c r="J96" s="25" t="e">
        <f>SUMIF(#REF!,'MEDIÇÃO 39'!A96,#REF!)</f>
        <v>#REF!</v>
      </c>
      <c r="K96" s="25" t="e">
        <f t="shared" si="3"/>
        <v>#REF!</v>
      </c>
      <c r="L96" s="25" t="e">
        <f>G96-K96</f>
        <v>#REF!</v>
      </c>
      <c r="M96" s="24" t="e">
        <f>ROUND(I96*H96,2)</f>
        <v>#REF!</v>
      </c>
      <c r="N96" s="21" t="e">
        <f>ROUND(J96*H96,2)</f>
        <v>#REF!</v>
      </c>
      <c r="O96" s="26" t="e">
        <f t="shared" si="4"/>
        <v>#REF!</v>
      </c>
      <c r="P96" s="26" t="e">
        <f>ROUND((G96*H96)-O96,2)</f>
        <v>#REF!</v>
      </c>
      <c r="Q96" s="85">
        <f>IFERROR(ROUND(O96/(G96*H96),2),0)</f>
        <v>0</v>
      </c>
    </row>
    <row r="97" spans="1:17" ht="66.599999999999994" x14ac:dyDescent="1.05">
      <c r="A97" s="19" t="s">
        <v>366</v>
      </c>
      <c r="B97" s="20" t="s">
        <v>85</v>
      </c>
      <c r="C97" s="21" t="s">
        <v>278</v>
      </c>
      <c r="D97" s="22">
        <v>25</v>
      </c>
      <c r="E97" s="22"/>
      <c r="F97" s="22"/>
      <c r="G97" s="22">
        <f t="shared" si="5"/>
        <v>25</v>
      </c>
      <c r="H97" s="24" t="e">
        <f>VLOOKUP(A97,#REF!,5,0)</f>
        <v>#REF!</v>
      </c>
      <c r="I97" s="25" t="e">
        <f>SUM(#REF!)</f>
        <v>#REF!</v>
      </c>
      <c r="J97" s="25" t="e">
        <f>SUMIF(#REF!,'MEDIÇÃO 39'!A97,#REF!)</f>
        <v>#REF!</v>
      </c>
      <c r="K97" s="25" t="e">
        <f t="shared" si="3"/>
        <v>#REF!</v>
      </c>
      <c r="L97" s="25" t="e">
        <f>G97-K97</f>
        <v>#REF!</v>
      </c>
      <c r="M97" s="24" t="e">
        <f>ROUND(I97*H97,2)</f>
        <v>#REF!</v>
      </c>
      <c r="N97" s="21" t="e">
        <f>ROUND(J97*H97,2)</f>
        <v>#REF!</v>
      </c>
      <c r="O97" s="26" t="e">
        <f t="shared" si="4"/>
        <v>#REF!</v>
      </c>
      <c r="P97" s="26" t="e">
        <f>ROUND((G97*H97)-O97,2)</f>
        <v>#REF!</v>
      </c>
      <c r="Q97" s="85">
        <f>IFERROR(ROUND(O97/(G97*H97),2),0)</f>
        <v>0</v>
      </c>
    </row>
    <row r="98" spans="1:17" ht="66.599999999999994" x14ac:dyDescent="1.05">
      <c r="A98" s="19" t="s">
        <v>367</v>
      </c>
      <c r="B98" s="20" t="s">
        <v>86</v>
      </c>
      <c r="C98" s="21" t="s">
        <v>276</v>
      </c>
      <c r="D98" s="22">
        <v>2</v>
      </c>
      <c r="E98" s="22"/>
      <c r="F98" s="22"/>
      <c r="G98" s="22">
        <f t="shared" si="5"/>
        <v>2</v>
      </c>
      <c r="H98" s="24" t="e">
        <f>VLOOKUP(A98,#REF!,5,0)</f>
        <v>#REF!</v>
      </c>
      <c r="I98" s="25" t="e">
        <f>SUM(#REF!)</f>
        <v>#REF!</v>
      </c>
      <c r="J98" s="25" t="e">
        <f>SUMIF(#REF!,'MEDIÇÃO 39'!A98,#REF!)</f>
        <v>#REF!</v>
      </c>
      <c r="K98" s="25" t="e">
        <f t="shared" si="3"/>
        <v>#REF!</v>
      </c>
      <c r="L98" s="25" t="e">
        <f>G98-K98</f>
        <v>#REF!</v>
      </c>
      <c r="M98" s="24" t="e">
        <f>ROUND(I98*H98,2)</f>
        <v>#REF!</v>
      </c>
      <c r="N98" s="21" t="e">
        <f>ROUND(J98*H98,2)</f>
        <v>#REF!</v>
      </c>
      <c r="O98" s="26" t="e">
        <f t="shared" si="4"/>
        <v>#REF!</v>
      </c>
      <c r="P98" s="26" t="e">
        <f>ROUND((G98*H98)-O98,2)</f>
        <v>#REF!</v>
      </c>
      <c r="Q98" s="85">
        <f>IFERROR(ROUND(O98/(G98*H98),2),0)</f>
        <v>0</v>
      </c>
    </row>
    <row r="99" spans="1:17" ht="133.19999999999999" x14ac:dyDescent="1.05">
      <c r="A99" s="19" t="s">
        <v>368</v>
      </c>
      <c r="B99" s="20" t="s">
        <v>87</v>
      </c>
      <c r="C99" s="21" t="s">
        <v>280</v>
      </c>
      <c r="D99" s="22">
        <v>100</v>
      </c>
      <c r="E99" s="22"/>
      <c r="F99" s="22"/>
      <c r="G99" s="22">
        <f t="shared" si="5"/>
        <v>100</v>
      </c>
      <c r="H99" s="24" t="e">
        <f>VLOOKUP(A99,#REF!,5,0)</f>
        <v>#REF!</v>
      </c>
      <c r="I99" s="25" t="e">
        <f>SUM(#REF!)</f>
        <v>#REF!</v>
      </c>
      <c r="J99" s="25" t="e">
        <f>SUMIF(#REF!,'MEDIÇÃO 39'!A99,#REF!)</f>
        <v>#REF!</v>
      </c>
      <c r="K99" s="25" t="e">
        <f t="shared" si="3"/>
        <v>#REF!</v>
      </c>
      <c r="L99" s="25" t="e">
        <f>G99-K99</f>
        <v>#REF!</v>
      </c>
      <c r="M99" s="24" t="e">
        <f>ROUND(I99*H99,2)</f>
        <v>#REF!</v>
      </c>
      <c r="N99" s="21" t="e">
        <f>ROUND(J99*H99,2)</f>
        <v>#REF!</v>
      </c>
      <c r="O99" s="26" t="e">
        <f t="shared" si="4"/>
        <v>#REF!</v>
      </c>
      <c r="P99" s="26" t="e">
        <f>ROUND((G99*H99)-O99,2)</f>
        <v>#REF!</v>
      </c>
      <c r="Q99" s="85">
        <f>IFERROR(ROUND(O99/(G99*H99),2),0)</f>
        <v>0</v>
      </c>
    </row>
    <row r="100" spans="1:17" ht="133.19999999999999" x14ac:dyDescent="1.05">
      <c r="A100" s="19" t="s">
        <v>369</v>
      </c>
      <c r="B100" s="20" t="s">
        <v>88</v>
      </c>
      <c r="C100" s="21" t="s">
        <v>280</v>
      </c>
      <c r="D100" s="22">
        <v>25</v>
      </c>
      <c r="E100" s="22"/>
      <c r="F100" s="22"/>
      <c r="G100" s="22">
        <f t="shared" si="5"/>
        <v>25</v>
      </c>
      <c r="H100" s="24" t="e">
        <f>VLOOKUP(A100,#REF!,5,0)</f>
        <v>#REF!</v>
      </c>
      <c r="I100" s="25" t="e">
        <f>SUM(#REF!)</f>
        <v>#REF!</v>
      </c>
      <c r="J100" s="25" t="e">
        <f>SUMIF(#REF!,'MEDIÇÃO 39'!A100,#REF!)</f>
        <v>#REF!</v>
      </c>
      <c r="K100" s="25" t="e">
        <f t="shared" si="3"/>
        <v>#REF!</v>
      </c>
      <c r="L100" s="25" t="e">
        <f>G100-K100</f>
        <v>#REF!</v>
      </c>
      <c r="M100" s="24" t="e">
        <f>ROUND(I100*H100,2)</f>
        <v>#REF!</v>
      </c>
      <c r="N100" s="21" t="e">
        <f>ROUND(J100*H100,2)</f>
        <v>#REF!</v>
      </c>
      <c r="O100" s="26" t="e">
        <f t="shared" si="4"/>
        <v>#REF!</v>
      </c>
      <c r="P100" s="26" t="e">
        <f>ROUND((G100*H100)-O100,2)</f>
        <v>#REF!</v>
      </c>
      <c r="Q100" s="85">
        <f>IFERROR(ROUND(O100/(G100*H100),2),0)</f>
        <v>0</v>
      </c>
    </row>
    <row r="101" spans="1:17" ht="133.19999999999999" x14ac:dyDescent="1.05">
      <c r="A101" s="19" t="s">
        <v>370</v>
      </c>
      <c r="B101" s="20" t="s">
        <v>89</v>
      </c>
      <c r="C101" s="21" t="s">
        <v>280</v>
      </c>
      <c r="D101" s="22">
        <v>15</v>
      </c>
      <c r="E101" s="22"/>
      <c r="F101" s="22"/>
      <c r="G101" s="22">
        <f t="shared" si="5"/>
        <v>15</v>
      </c>
      <c r="H101" s="24" t="e">
        <f>VLOOKUP(A101,#REF!,5,0)</f>
        <v>#REF!</v>
      </c>
      <c r="I101" s="25" t="e">
        <f>SUM(#REF!)</f>
        <v>#REF!</v>
      </c>
      <c r="J101" s="25" t="e">
        <f>SUMIF(#REF!,'MEDIÇÃO 39'!A101,#REF!)</f>
        <v>#REF!</v>
      </c>
      <c r="K101" s="25" t="e">
        <f t="shared" si="3"/>
        <v>#REF!</v>
      </c>
      <c r="L101" s="25" t="e">
        <f>G101-K101</f>
        <v>#REF!</v>
      </c>
      <c r="M101" s="24" t="e">
        <f>ROUND(I101*H101,2)</f>
        <v>#REF!</v>
      </c>
      <c r="N101" s="21" t="e">
        <f>ROUND(J101*H101,2)</f>
        <v>#REF!</v>
      </c>
      <c r="O101" s="26" t="e">
        <f t="shared" si="4"/>
        <v>#REF!</v>
      </c>
      <c r="P101" s="26" t="e">
        <f>ROUND((G101*H101)-O101,2)</f>
        <v>#REF!</v>
      </c>
      <c r="Q101" s="85">
        <f>IFERROR(ROUND(O101/(G101*H101),2),0)</f>
        <v>0</v>
      </c>
    </row>
    <row r="102" spans="1:17" ht="133.19999999999999" x14ac:dyDescent="1.05">
      <c r="A102" s="68" t="s">
        <v>371</v>
      </c>
      <c r="B102" s="69" t="s">
        <v>90</v>
      </c>
      <c r="C102" s="70" t="s">
        <v>276</v>
      </c>
      <c r="D102" s="71">
        <v>100</v>
      </c>
      <c r="E102" s="71"/>
      <c r="F102" s="71"/>
      <c r="G102" s="71">
        <f t="shared" si="5"/>
        <v>100</v>
      </c>
      <c r="H102" s="72" t="e">
        <f>VLOOKUP(A102,#REF!,5,0)</f>
        <v>#REF!</v>
      </c>
      <c r="I102" s="73" t="e">
        <f>SUM(#REF!)</f>
        <v>#REF!</v>
      </c>
      <c r="J102" s="73" t="e">
        <f>SUMIF(#REF!,'MEDIÇÃO 39'!A102,#REF!)</f>
        <v>#REF!</v>
      </c>
      <c r="K102" s="73" t="e">
        <f t="shared" si="3"/>
        <v>#REF!</v>
      </c>
      <c r="L102" s="73" t="e">
        <f>G102-K102</f>
        <v>#REF!</v>
      </c>
      <c r="M102" s="72" t="e">
        <f>ROUND(I102*H102,2)</f>
        <v>#REF!</v>
      </c>
      <c r="N102" s="70" t="e">
        <f>ROUND(J102*H102,2)</f>
        <v>#REF!</v>
      </c>
      <c r="O102" s="74" t="e">
        <f t="shared" si="4"/>
        <v>#REF!</v>
      </c>
      <c r="P102" s="74" t="e">
        <f>ROUND((G102*H102)-O102,2)</f>
        <v>#REF!</v>
      </c>
      <c r="Q102" s="87">
        <f>IFERROR(ROUND(O102/(G102*H102),2),0)</f>
        <v>0</v>
      </c>
    </row>
    <row r="103" spans="1:17" ht="66.599999999999994" x14ac:dyDescent="1.05">
      <c r="A103" s="67" t="s">
        <v>372</v>
      </c>
      <c r="B103" s="67" t="s">
        <v>273</v>
      </c>
      <c r="C103" s="67"/>
      <c r="D103" s="67"/>
      <c r="E103" s="67"/>
      <c r="F103" s="67"/>
      <c r="G103" s="67"/>
      <c r="H103" s="67"/>
      <c r="I103" s="67"/>
      <c r="J103" s="67"/>
      <c r="K103" s="67"/>
      <c r="L103" s="67"/>
      <c r="M103" s="67"/>
      <c r="N103" s="67"/>
      <c r="O103" s="67"/>
      <c r="P103" s="67"/>
      <c r="Q103" s="88"/>
    </row>
    <row r="104" spans="1:17" ht="133.19999999999999" x14ac:dyDescent="1.05">
      <c r="A104" s="78" t="s">
        <v>373</v>
      </c>
      <c r="B104" s="79" t="s">
        <v>91</v>
      </c>
      <c r="C104" s="75" t="s">
        <v>277</v>
      </c>
      <c r="D104" s="80">
        <v>200</v>
      </c>
      <c r="E104" s="80"/>
      <c r="F104" s="80"/>
      <c r="G104" s="80">
        <f t="shared" si="5"/>
        <v>200</v>
      </c>
      <c r="H104" s="76" t="e">
        <f>VLOOKUP(A104,#REF!,5,0)</f>
        <v>#REF!</v>
      </c>
      <c r="I104" s="77" t="e">
        <f>SUM(#REF!)</f>
        <v>#REF!</v>
      </c>
      <c r="J104" s="77" t="e">
        <f>SUMIF(#REF!,'MEDIÇÃO 39'!A104,#REF!)</f>
        <v>#REF!</v>
      </c>
      <c r="K104" s="77" t="e">
        <f t="shared" si="3"/>
        <v>#REF!</v>
      </c>
      <c r="L104" s="77" t="e">
        <f>G104-K104</f>
        <v>#REF!</v>
      </c>
      <c r="M104" s="76" t="e">
        <f>ROUND(I104*H104,2)</f>
        <v>#REF!</v>
      </c>
      <c r="N104" s="75" t="e">
        <f>ROUND(J104*H104,2)</f>
        <v>#REF!</v>
      </c>
      <c r="O104" s="81" t="e">
        <f t="shared" si="4"/>
        <v>#REF!</v>
      </c>
      <c r="P104" s="81" t="e">
        <f>ROUND((G104*H104)-O104,2)</f>
        <v>#REF!</v>
      </c>
      <c r="Q104" s="89">
        <f>IFERROR(ROUND(O104/(G104*H104),2),0)</f>
        <v>0</v>
      </c>
    </row>
    <row r="105" spans="1:17" ht="133.19999999999999" x14ac:dyDescent="1.05">
      <c r="A105" s="19" t="s">
        <v>374</v>
      </c>
      <c r="B105" s="20" t="s">
        <v>92</v>
      </c>
      <c r="C105" s="21" t="s">
        <v>277</v>
      </c>
      <c r="D105" s="22">
        <v>17</v>
      </c>
      <c r="E105" s="22"/>
      <c r="F105" s="22"/>
      <c r="G105" s="22">
        <f t="shared" si="5"/>
        <v>17</v>
      </c>
      <c r="H105" s="24" t="e">
        <f>VLOOKUP(A105,#REF!,5,0)</f>
        <v>#REF!</v>
      </c>
      <c r="I105" s="25" t="e">
        <f>SUM(#REF!)</f>
        <v>#REF!</v>
      </c>
      <c r="J105" s="25" t="e">
        <f>SUMIF(#REF!,'MEDIÇÃO 39'!A105,#REF!)</f>
        <v>#REF!</v>
      </c>
      <c r="K105" s="25" t="e">
        <f t="shared" si="3"/>
        <v>#REF!</v>
      </c>
      <c r="L105" s="25" t="e">
        <f>G105-K105</f>
        <v>#REF!</v>
      </c>
      <c r="M105" s="24" t="e">
        <f>ROUND(I105*H105,2)</f>
        <v>#REF!</v>
      </c>
      <c r="N105" s="21" t="e">
        <f>ROUND(J105*H105,2)</f>
        <v>#REF!</v>
      </c>
      <c r="O105" s="26" t="e">
        <f t="shared" si="4"/>
        <v>#REF!</v>
      </c>
      <c r="P105" s="26" t="e">
        <f>ROUND((G105*H105)-O105,2)</f>
        <v>#REF!</v>
      </c>
      <c r="Q105" s="85">
        <f>IFERROR(ROUND(O105/(G105*H105),2),0)</f>
        <v>0</v>
      </c>
    </row>
    <row r="106" spans="1:17" ht="133.19999999999999" x14ac:dyDescent="1.05">
      <c r="A106" s="19" t="s">
        <v>375</v>
      </c>
      <c r="B106" s="20" t="s">
        <v>93</v>
      </c>
      <c r="C106" s="21" t="s">
        <v>277</v>
      </c>
      <c r="D106" s="22">
        <v>30</v>
      </c>
      <c r="E106" s="22"/>
      <c r="F106" s="22"/>
      <c r="G106" s="22">
        <f t="shared" si="5"/>
        <v>30</v>
      </c>
      <c r="H106" s="24" t="e">
        <f>VLOOKUP(A106,#REF!,5,0)</f>
        <v>#REF!</v>
      </c>
      <c r="I106" s="25" t="e">
        <f>SUM(#REF!)</f>
        <v>#REF!</v>
      </c>
      <c r="J106" s="25" t="e">
        <f>SUMIF(#REF!,'MEDIÇÃO 39'!A106,#REF!)</f>
        <v>#REF!</v>
      </c>
      <c r="K106" s="25" t="e">
        <f t="shared" si="3"/>
        <v>#REF!</v>
      </c>
      <c r="L106" s="25" t="e">
        <f>G106-K106</f>
        <v>#REF!</v>
      </c>
      <c r="M106" s="24" t="e">
        <f>ROUND(I106*H106,2)</f>
        <v>#REF!</v>
      </c>
      <c r="N106" s="21" t="e">
        <f>ROUND(J106*H106,2)</f>
        <v>#REF!</v>
      </c>
      <c r="O106" s="26" t="e">
        <f t="shared" si="4"/>
        <v>#REF!</v>
      </c>
      <c r="P106" s="26" t="e">
        <f>ROUND((G106*H106)-O106,2)</f>
        <v>#REF!</v>
      </c>
      <c r="Q106" s="85">
        <f>IFERROR(ROUND(O106/(G106*H106),2),0)</f>
        <v>0</v>
      </c>
    </row>
    <row r="107" spans="1:17" ht="133.19999999999999" x14ac:dyDescent="1.05">
      <c r="A107" s="19" t="s">
        <v>376</v>
      </c>
      <c r="B107" s="20" t="s">
        <v>94</v>
      </c>
      <c r="C107" s="21" t="s">
        <v>277</v>
      </c>
      <c r="D107" s="22">
        <v>1</v>
      </c>
      <c r="E107" s="22"/>
      <c r="F107" s="22"/>
      <c r="G107" s="22">
        <f t="shared" si="5"/>
        <v>1</v>
      </c>
      <c r="H107" s="24" t="e">
        <f>VLOOKUP(A107,#REF!,5,0)</f>
        <v>#REF!</v>
      </c>
      <c r="I107" s="25" t="e">
        <f>SUM(#REF!)</f>
        <v>#REF!</v>
      </c>
      <c r="J107" s="25" t="e">
        <f>SUMIF(#REF!,'MEDIÇÃO 39'!A107,#REF!)</f>
        <v>#REF!</v>
      </c>
      <c r="K107" s="25" t="e">
        <f t="shared" si="3"/>
        <v>#REF!</v>
      </c>
      <c r="L107" s="25" t="e">
        <f>G107-K107</f>
        <v>#REF!</v>
      </c>
      <c r="M107" s="24" t="e">
        <f>ROUND(I107*H107,2)</f>
        <v>#REF!</v>
      </c>
      <c r="N107" s="21" t="e">
        <f>ROUND(J107*H107,2)</f>
        <v>#REF!</v>
      </c>
      <c r="O107" s="26" t="e">
        <f t="shared" si="4"/>
        <v>#REF!</v>
      </c>
      <c r="P107" s="26" t="e">
        <f>ROUND((G107*H107)-O107,2)</f>
        <v>#REF!</v>
      </c>
      <c r="Q107" s="85">
        <f>IFERROR(ROUND(O107/(G107*H107),2),0)</f>
        <v>0</v>
      </c>
    </row>
    <row r="108" spans="1:17" ht="133.19999999999999" x14ac:dyDescent="1.05">
      <c r="A108" s="19" t="s">
        <v>377</v>
      </c>
      <c r="B108" s="20" t="s">
        <v>95</v>
      </c>
      <c r="C108" s="21" t="s">
        <v>277</v>
      </c>
      <c r="D108" s="22">
        <v>2</v>
      </c>
      <c r="E108" s="22"/>
      <c r="F108" s="22"/>
      <c r="G108" s="22">
        <f t="shared" si="5"/>
        <v>2</v>
      </c>
      <c r="H108" s="24" t="e">
        <f>VLOOKUP(A108,#REF!,5,0)</f>
        <v>#REF!</v>
      </c>
      <c r="I108" s="25" t="e">
        <f>SUM(#REF!)</f>
        <v>#REF!</v>
      </c>
      <c r="J108" s="25" t="e">
        <f>SUMIF(#REF!,'MEDIÇÃO 39'!A108,#REF!)</f>
        <v>#REF!</v>
      </c>
      <c r="K108" s="25" t="e">
        <f t="shared" si="3"/>
        <v>#REF!</v>
      </c>
      <c r="L108" s="25" t="e">
        <f>G108-K108</f>
        <v>#REF!</v>
      </c>
      <c r="M108" s="24" t="e">
        <f>ROUND(I108*H108,2)</f>
        <v>#REF!</v>
      </c>
      <c r="N108" s="21" t="e">
        <f>ROUND(J108*H108,2)</f>
        <v>#REF!</v>
      </c>
      <c r="O108" s="26" t="e">
        <f t="shared" si="4"/>
        <v>#REF!</v>
      </c>
      <c r="P108" s="26" t="e">
        <f>ROUND((G108*H108)-O108,2)</f>
        <v>#REF!</v>
      </c>
      <c r="Q108" s="85">
        <f>IFERROR(ROUND(O108/(G108*H108),2),0)</f>
        <v>0</v>
      </c>
    </row>
    <row r="109" spans="1:17" ht="133.19999999999999" x14ac:dyDescent="1.05">
      <c r="A109" s="19" t="s">
        <v>378</v>
      </c>
      <c r="B109" s="20" t="s">
        <v>96</v>
      </c>
      <c r="C109" s="21" t="s">
        <v>277</v>
      </c>
      <c r="D109" s="22">
        <v>250</v>
      </c>
      <c r="E109" s="22"/>
      <c r="F109" s="22"/>
      <c r="G109" s="22">
        <f t="shared" si="5"/>
        <v>250</v>
      </c>
      <c r="H109" s="24" t="e">
        <f>VLOOKUP(A109,#REF!,5,0)</f>
        <v>#REF!</v>
      </c>
      <c r="I109" s="25" t="e">
        <f>SUM(#REF!)</f>
        <v>#REF!</v>
      </c>
      <c r="J109" s="25" t="e">
        <f>SUMIF(#REF!,'MEDIÇÃO 39'!A109,#REF!)</f>
        <v>#REF!</v>
      </c>
      <c r="K109" s="25" t="e">
        <f t="shared" si="3"/>
        <v>#REF!</v>
      </c>
      <c r="L109" s="25" t="e">
        <f>G109-K109</f>
        <v>#REF!</v>
      </c>
      <c r="M109" s="24" t="e">
        <f>ROUND(I109*H109,2)</f>
        <v>#REF!</v>
      </c>
      <c r="N109" s="21" t="e">
        <f>ROUND(J109*H109,2)</f>
        <v>#REF!</v>
      </c>
      <c r="O109" s="26" t="e">
        <f t="shared" si="4"/>
        <v>#REF!</v>
      </c>
      <c r="P109" s="26" t="e">
        <f>ROUND((G109*H109)-O109,2)</f>
        <v>#REF!</v>
      </c>
      <c r="Q109" s="85">
        <f>IFERROR(ROUND(O109/(G109*H109),2),0)</f>
        <v>0</v>
      </c>
    </row>
    <row r="110" spans="1:17" ht="133.19999999999999" x14ac:dyDescent="1.05">
      <c r="A110" s="19" t="s">
        <v>379</v>
      </c>
      <c r="B110" s="20" t="s">
        <v>97</v>
      </c>
      <c r="C110" s="21" t="s">
        <v>277</v>
      </c>
      <c r="D110" s="22">
        <v>250</v>
      </c>
      <c r="E110" s="22"/>
      <c r="F110" s="22"/>
      <c r="G110" s="22">
        <f t="shared" si="5"/>
        <v>250</v>
      </c>
      <c r="H110" s="24" t="e">
        <f>VLOOKUP(A110,#REF!,5,0)</f>
        <v>#REF!</v>
      </c>
      <c r="I110" s="25" t="e">
        <f>SUM(#REF!)</f>
        <v>#REF!</v>
      </c>
      <c r="J110" s="25" t="e">
        <f>SUMIF(#REF!,'MEDIÇÃO 39'!A110,#REF!)</f>
        <v>#REF!</v>
      </c>
      <c r="K110" s="25" t="e">
        <f t="shared" si="3"/>
        <v>#REF!</v>
      </c>
      <c r="L110" s="25" t="e">
        <f>G110-K110</f>
        <v>#REF!</v>
      </c>
      <c r="M110" s="24" t="e">
        <f>ROUND(I110*H110,2)</f>
        <v>#REF!</v>
      </c>
      <c r="N110" s="21" t="e">
        <f>ROUND(J110*H110,2)</f>
        <v>#REF!</v>
      </c>
      <c r="O110" s="26" t="e">
        <f>ROUND(M110+N110,2)</f>
        <v>#REF!</v>
      </c>
      <c r="P110" s="26" t="e">
        <f>ROUND((G110*H110)-O110,2)</f>
        <v>#REF!</v>
      </c>
      <c r="Q110" s="85">
        <f>IFERROR(ROUND(O110/(G110*H110),2),0)</f>
        <v>0</v>
      </c>
    </row>
    <row r="111" spans="1:17" ht="133.19999999999999" x14ac:dyDescent="1.05">
      <c r="A111" s="19" t="s">
        <v>380</v>
      </c>
      <c r="B111" s="20" t="s">
        <v>98</v>
      </c>
      <c r="C111" s="21" t="s">
        <v>277</v>
      </c>
      <c r="D111" s="22">
        <v>12</v>
      </c>
      <c r="E111" s="22"/>
      <c r="F111" s="22"/>
      <c r="G111" s="22">
        <f t="shared" si="5"/>
        <v>12</v>
      </c>
      <c r="H111" s="24" t="e">
        <f>VLOOKUP(A111,#REF!,5,0)</f>
        <v>#REF!</v>
      </c>
      <c r="I111" s="25" t="e">
        <f>SUM(#REF!)</f>
        <v>#REF!</v>
      </c>
      <c r="J111" s="25" t="e">
        <f>SUMIF(#REF!,'MEDIÇÃO 39'!A111,#REF!)</f>
        <v>#REF!</v>
      </c>
      <c r="K111" s="25" t="e">
        <f t="shared" si="3"/>
        <v>#REF!</v>
      </c>
      <c r="L111" s="25" t="e">
        <f>G111-K111</f>
        <v>#REF!</v>
      </c>
      <c r="M111" s="24" t="e">
        <f>ROUND(I111*H111,2)</f>
        <v>#REF!</v>
      </c>
      <c r="N111" s="21" t="e">
        <f>ROUND(J111*H111,2)</f>
        <v>#REF!</v>
      </c>
      <c r="O111" s="26" t="e">
        <f t="shared" si="4"/>
        <v>#REF!</v>
      </c>
      <c r="P111" s="26" t="e">
        <f>ROUND((G111*H111)-O111,2)</f>
        <v>#REF!</v>
      </c>
      <c r="Q111" s="85">
        <f>IFERROR(ROUND(O111/(G111*H111),2),0)</f>
        <v>0</v>
      </c>
    </row>
    <row r="112" spans="1:17" ht="66.599999999999994" x14ac:dyDescent="1.05">
      <c r="A112" s="19" t="s">
        <v>381</v>
      </c>
      <c r="B112" s="20" t="s">
        <v>99</v>
      </c>
      <c r="C112" s="21" t="s">
        <v>277</v>
      </c>
      <c r="D112" s="22">
        <v>25</v>
      </c>
      <c r="E112" s="22"/>
      <c r="F112" s="22"/>
      <c r="G112" s="22">
        <f t="shared" si="5"/>
        <v>25</v>
      </c>
      <c r="H112" s="24" t="e">
        <f>VLOOKUP(A112,#REF!,5,0)</f>
        <v>#REF!</v>
      </c>
      <c r="I112" s="25" t="e">
        <f>SUM(#REF!)</f>
        <v>#REF!</v>
      </c>
      <c r="J112" s="25" t="e">
        <f>SUMIF(#REF!,'MEDIÇÃO 39'!A112,#REF!)</f>
        <v>#REF!</v>
      </c>
      <c r="K112" s="25" t="e">
        <f t="shared" si="3"/>
        <v>#REF!</v>
      </c>
      <c r="L112" s="25" t="e">
        <f>G112-K112</f>
        <v>#REF!</v>
      </c>
      <c r="M112" s="24" t="e">
        <f>ROUND(I112*H112,2)</f>
        <v>#REF!</v>
      </c>
      <c r="N112" s="21" t="e">
        <f>ROUND(J112*H112,2)</f>
        <v>#REF!</v>
      </c>
      <c r="O112" s="26" t="e">
        <f t="shared" si="4"/>
        <v>#REF!</v>
      </c>
      <c r="P112" s="26" t="e">
        <f>ROUND((G112*H112)-O112,2)</f>
        <v>#REF!</v>
      </c>
      <c r="Q112" s="85">
        <f>IFERROR(ROUND(O112/(G112*H112),2),0)</f>
        <v>0</v>
      </c>
    </row>
    <row r="113" spans="1:17" ht="133.19999999999999" x14ac:dyDescent="1.05">
      <c r="A113" s="19" t="s">
        <v>382</v>
      </c>
      <c r="B113" s="20" t="s">
        <v>100</v>
      </c>
      <c r="C113" s="21" t="s">
        <v>277</v>
      </c>
      <c r="D113" s="22">
        <v>250</v>
      </c>
      <c r="E113" s="22"/>
      <c r="F113" s="22"/>
      <c r="G113" s="22">
        <f t="shared" si="5"/>
        <v>250</v>
      </c>
      <c r="H113" s="24" t="e">
        <f>VLOOKUP(A113,#REF!,5,0)</f>
        <v>#REF!</v>
      </c>
      <c r="I113" s="25" t="e">
        <f>SUM(#REF!)</f>
        <v>#REF!</v>
      </c>
      <c r="J113" s="25" t="e">
        <f>SUMIF(#REF!,'MEDIÇÃO 39'!A113,#REF!)</f>
        <v>#REF!</v>
      </c>
      <c r="K113" s="25" t="e">
        <f>I113+J113</f>
        <v>#REF!</v>
      </c>
      <c r="L113" s="25" t="e">
        <f>G113-K113</f>
        <v>#REF!</v>
      </c>
      <c r="M113" s="24" t="e">
        <f>ROUND(I113*H113,2)</f>
        <v>#REF!</v>
      </c>
      <c r="N113" s="21" t="e">
        <f>ROUND(J113*H113,2)</f>
        <v>#REF!</v>
      </c>
      <c r="O113" s="26" t="e">
        <f t="shared" si="4"/>
        <v>#REF!</v>
      </c>
      <c r="P113" s="26" t="e">
        <f>ROUND((G113*H113)-O113,2)</f>
        <v>#REF!</v>
      </c>
      <c r="Q113" s="85">
        <f>IFERROR(ROUND(O113/(G113*H113),2),0)</f>
        <v>0</v>
      </c>
    </row>
    <row r="114" spans="1:17" ht="66.599999999999994" x14ac:dyDescent="1.05">
      <c r="A114" s="19" t="s">
        <v>383</v>
      </c>
      <c r="B114" s="20" t="s">
        <v>101</v>
      </c>
      <c r="C114" s="21" t="s">
        <v>277</v>
      </c>
      <c r="D114" s="22">
        <v>439</v>
      </c>
      <c r="E114" s="22"/>
      <c r="F114" s="22"/>
      <c r="G114" s="22">
        <f t="shared" si="5"/>
        <v>439</v>
      </c>
      <c r="H114" s="24" t="e">
        <f>VLOOKUP(A114,#REF!,5,0)</f>
        <v>#REF!</v>
      </c>
      <c r="I114" s="25" t="e">
        <f>SUM(#REF!)</f>
        <v>#REF!</v>
      </c>
      <c r="J114" s="25" t="e">
        <f>SUMIF(#REF!,'MEDIÇÃO 39'!A114,#REF!)</f>
        <v>#REF!</v>
      </c>
      <c r="K114" s="25" t="e">
        <f t="shared" si="3"/>
        <v>#REF!</v>
      </c>
      <c r="L114" s="25" t="e">
        <f>G114-K114</f>
        <v>#REF!</v>
      </c>
      <c r="M114" s="24" t="e">
        <f>ROUND(I114*H114,2)</f>
        <v>#REF!</v>
      </c>
      <c r="N114" s="21" t="e">
        <f>ROUND(J114*H114,2)</f>
        <v>#REF!</v>
      </c>
      <c r="O114" s="26" t="e">
        <f t="shared" si="4"/>
        <v>#REF!</v>
      </c>
      <c r="P114" s="26" t="e">
        <f>ROUND((G114*H114)-O114,2)</f>
        <v>#REF!</v>
      </c>
      <c r="Q114" s="85">
        <f>IFERROR(ROUND(O114/(G114*H114),2),0)</f>
        <v>0</v>
      </c>
    </row>
    <row r="115" spans="1:17" ht="66.599999999999994" x14ac:dyDescent="1.05">
      <c r="A115" s="19" t="s">
        <v>384</v>
      </c>
      <c r="B115" s="20" t="s">
        <v>102</v>
      </c>
      <c r="C115" s="21" t="s">
        <v>277</v>
      </c>
      <c r="D115" s="22">
        <v>25</v>
      </c>
      <c r="E115" s="22"/>
      <c r="F115" s="22"/>
      <c r="G115" s="22">
        <f t="shared" si="5"/>
        <v>25</v>
      </c>
      <c r="H115" s="24" t="e">
        <f>VLOOKUP(A115,#REF!,5,0)</f>
        <v>#REF!</v>
      </c>
      <c r="I115" s="25" t="e">
        <f>SUM(#REF!)</f>
        <v>#REF!</v>
      </c>
      <c r="J115" s="25" t="e">
        <f>SUMIF(#REF!,'MEDIÇÃO 39'!A115,#REF!)</f>
        <v>#REF!</v>
      </c>
      <c r="K115" s="25" t="e">
        <f t="shared" si="3"/>
        <v>#REF!</v>
      </c>
      <c r="L115" s="25" t="e">
        <f>G115-K115</f>
        <v>#REF!</v>
      </c>
      <c r="M115" s="24" t="e">
        <f>ROUND(I115*H115,2)</f>
        <v>#REF!</v>
      </c>
      <c r="N115" s="21" t="e">
        <f>ROUND(J115*H115,2)</f>
        <v>#REF!</v>
      </c>
      <c r="O115" s="26" t="e">
        <f t="shared" si="4"/>
        <v>#REF!</v>
      </c>
      <c r="P115" s="26" t="e">
        <f>ROUND((G115*H115)-O115,2)</f>
        <v>#REF!</v>
      </c>
      <c r="Q115" s="85">
        <f>IFERROR(ROUND(O115/(G115*H115),2),0)</f>
        <v>0</v>
      </c>
    </row>
    <row r="116" spans="1:17" ht="66.599999999999994" x14ac:dyDescent="1.05">
      <c r="A116" s="19" t="s">
        <v>385</v>
      </c>
      <c r="B116" s="20" t="s">
        <v>103</v>
      </c>
      <c r="C116" s="21" t="s">
        <v>277</v>
      </c>
      <c r="D116" s="22">
        <v>25</v>
      </c>
      <c r="E116" s="22"/>
      <c r="F116" s="22"/>
      <c r="G116" s="22">
        <f t="shared" si="5"/>
        <v>25</v>
      </c>
      <c r="H116" s="24" t="e">
        <f>VLOOKUP(A116,#REF!,5,0)</f>
        <v>#REF!</v>
      </c>
      <c r="I116" s="25" t="e">
        <f>SUM(#REF!)</f>
        <v>#REF!</v>
      </c>
      <c r="J116" s="25" t="e">
        <f>SUMIF(#REF!,'MEDIÇÃO 39'!A116,#REF!)</f>
        <v>#REF!</v>
      </c>
      <c r="K116" s="25" t="e">
        <f t="shared" si="3"/>
        <v>#REF!</v>
      </c>
      <c r="L116" s="25" t="e">
        <f>G116-K116</f>
        <v>#REF!</v>
      </c>
      <c r="M116" s="24" t="e">
        <f>ROUND(I116*H116,2)</f>
        <v>#REF!</v>
      </c>
      <c r="N116" s="21" t="e">
        <f>ROUND(J116*H116,2)</f>
        <v>#REF!</v>
      </c>
      <c r="O116" s="26" t="e">
        <f t="shared" si="4"/>
        <v>#REF!</v>
      </c>
      <c r="P116" s="26" t="e">
        <f>ROUND((G116*H116)-O116,2)</f>
        <v>#REF!</v>
      </c>
      <c r="Q116" s="85">
        <f>IFERROR(ROUND(O116/(G116*H116),2),0)</f>
        <v>0</v>
      </c>
    </row>
    <row r="117" spans="1:17" ht="133.19999999999999" x14ac:dyDescent="1.05">
      <c r="A117" s="19" t="s">
        <v>386</v>
      </c>
      <c r="B117" s="20" t="s">
        <v>104</v>
      </c>
      <c r="C117" s="21" t="s">
        <v>277</v>
      </c>
      <c r="D117" s="22">
        <v>1098</v>
      </c>
      <c r="E117" s="22"/>
      <c r="F117" s="22"/>
      <c r="G117" s="22">
        <f t="shared" si="5"/>
        <v>1098</v>
      </c>
      <c r="H117" s="24" t="e">
        <f>VLOOKUP(A117,#REF!,5,0)</f>
        <v>#REF!</v>
      </c>
      <c r="I117" s="25" t="e">
        <f>SUM(#REF!)</f>
        <v>#REF!</v>
      </c>
      <c r="J117" s="25" t="e">
        <f>SUMIF(#REF!,'MEDIÇÃO 39'!A117,#REF!)</f>
        <v>#REF!</v>
      </c>
      <c r="K117" s="25" t="e">
        <f t="shared" si="3"/>
        <v>#REF!</v>
      </c>
      <c r="L117" s="25" t="e">
        <f>G117-K117</f>
        <v>#REF!</v>
      </c>
      <c r="M117" s="24" t="e">
        <f>ROUND(I117*H117,2)</f>
        <v>#REF!</v>
      </c>
      <c r="N117" s="21" t="e">
        <f>ROUND(J117*H117,2)</f>
        <v>#REF!</v>
      </c>
      <c r="O117" s="26" t="e">
        <f t="shared" si="4"/>
        <v>#REF!</v>
      </c>
      <c r="P117" s="26" t="e">
        <f>ROUND((G117*H117)-O117,2)</f>
        <v>#REF!</v>
      </c>
      <c r="Q117" s="85">
        <f>IFERROR(ROUND(O117/(G117*H117),2),0)</f>
        <v>0</v>
      </c>
    </row>
    <row r="118" spans="1:17" ht="133.19999999999999" x14ac:dyDescent="1.05">
      <c r="A118" s="19" t="s">
        <v>387</v>
      </c>
      <c r="B118" s="20" t="s">
        <v>105</v>
      </c>
      <c r="C118" s="21" t="s">
        <v>277</v>
      </c>
      <c r="D118" s="22">
        <v>659</v>
      </c>
      <c r="E118" s="22"/>
      <c r="F118" s="22"/>
      <c r="G118" s="22">
        <f t="shared" si="5"/>
        <v>659</v>
      </c>
      <c r="H118" s="24" t="e">
        <f>VLOOKUP(A118,#REF!,5,0)</f>
        <v>#REF!</v>
      </c>
      <c r="I118" s="25" t="e">
        <f>SUM(#REF!)</f>
        <v>#REF!</v>
      </c>
      <c r="J118" s="25" t="e">
        <f>SUMIF(#REF!,'MEDIÇÃO 39'!A118,#REF!)</f>
        <v>#REF!</v>
      </c>
      <c r="K118" s="25" t="e">
        <f t="shared" si="3"/>
        <v>#REF!</v>
      </c>
      <c r="L118" s="25" t="e">
        <f>G118-K118</f>
        <v>#REF!</v>
      </c>
      <c r="M118" s="24" t="e">
        <f>ROUND(I118*H118,2)</f>
        <v>#REF!</v>
      </c>
      <c r="N118" s="21" t="e">
        <f>ROUND(J118*H118,2)</f>
        <v>#REF!</v>
      </c>
      <c r="O118" s="26" t="e">
        <f t="shared" si="4"/>
        <v>#REF!</v>
      </c>
      <c r="P118" s="26" t="e">
        <f>ROUND((G118*H118)-O118,2)</f>
        <v>#REF!</v>
      </c>
      <c r="Q118" s="85">
        <f>IFERROR(ROUND(O118/(G118*H118),2),0)</f>
        <v>0</v>
      </c>
    </row>
    <row r="119" spans="1:17" ht="133.19999999999999" x14ac:dyDescent="1.05">
      <c r="A119" s="19" t="s">
        <v>388</v>
      </c>
      <c r="B119" s="20" t="s">
        <v>106</v>
      </c>
      <c r="C119" s="21" t="s">
        <v>277</v>
      </c>
      <c r="D119" s="22">
        <v>100</v>
      </c>
      <c r="E119" s="22"/>
      <c r="F119" s="22"/>
      <c r="G119" s="22">
        <f t="shared" si="5"/>
        <v>100</v>
      </c>
      <c r="H119" s="24" t="e">
        <f>VLOOKUP(A119,#REF!,5,0)</f>
        <v>#REF!</v>
      </c>
      <c r="I119" s="25" t="e">
        <f>SUM(#REF!)</f>
        <v>#REF!</v>
      </c>
      <c r="J119" s="25" t="e">
        <f>SUMIF(#REF!,'MEDIÇÃO 39'!A119,#REF!)</f>
        <v>#REF!</v>
      </c>
      <c r="K119" s="25" t="e">
        <f t="shared" si="3"/>
        <v>#REF!</v>
      </c>
      <c r="L119" s="25" t="e">
        <f>G119-K119</f>
        <v>#REF!</v>
      </c>
      <c r="M119" s="24" t="e">
        <f>ROUND(I119*H119,2)</f>
        <v>#REF!</v>
      </c>
      <c r="N119" s="21" t="e">
        <f>ROUND(J119*H119,2)</f>
        <v>#REF!</v>
      </c>
      <c r="O119" s="26" t="e">
        <f t="shared" si="4"/>
        <v>#REF!</v>
      </c>
      <c r="P119" s="26" t="e">
        <f>ROUND((G119*H119)-O119,2)</f>
        <v>#REF!</v>
      </c>
      <c r="Q119" s="85">
        <f>IFERROR(ROUND(O119/(G119*H119),2),0)</f>
        <v>0</v>
      </c>
    </row>
    <row r="120" spans="1:17" ht="133.19999999999999" x14ac:dyDescent="1.05">
      <c r="A120" s="19" t="s">
        <v>389</v>
      </c>
      <c r="B120" s="20" t="s">
        <v>107</v>
      </c>
      <c r="C120" s="21" t="s">
        <v>277</v>
      </c>
      <c r="D120" s="22">
        <v>250</v>
      </c>
      <c r="E120" s="22"/>
      <c r="F120" s="22"/>
      <c r="G120" s="22">
        <f t="shared" si="5"/>
        <v>250</v>
      </c>
      <c r="H120" s="24" t="e">
        <f>VLOOKUP(A120,#REF!,5,0)</f>
        <v>#REF!</v>
      </c>
      <c r="I120" s="25" t="e">
        <f>SUM(#REF!)</f>
        <v>#REF!</v>
      </c>
      <c r="J120" s="25" t="e">
        <f>SUMIF(#REF!,'MEDIÇÃO 39'!A120,#REF!)</f>
        <v>#REF!</v>
      </c>
      <c r="K120" s="25" t="e">
        <f t="shared" si="3"/>
        <v>#REF!</v>
      </c>
      <c r="L120" s="25" t="e">
        <f>G120-K120</f>
        <v>#REF!</v>
      </c>
      <c r="M120" s="24" t="e">
        <f>ROUND(I120*H120,2)</f>
        <v>#REF!</v>
      </c>
      <c r="N120" s="21" t="e">
        <f>ROUND(J120*H120,2)</f>
        <v>#REF!</v>
      </c>
      <c r="O120" s="26" t="e">
        <f t="shared" si="4"/>
        <v>#REF!</v>
      </c>
      <c r="P120" s="26" t="e">
        <f>ROUND((G120*H120)-O120,2)</f>
        <v>#REF!</v>
      </c>
      <c r="Q120" s="85">
        <f>IFERROR(ROUND(O120/(G120*H120),2),0)</f>
        <v>0</v>
      </c>
    </row>
    <row r="121" spans="1:17" ht="66.599999999999994" x14ac:dyDescent="1.05">
      <c r="A121" s="19" t="s">
        <v>390</v>
      </c>
      <c r="B121" s="20" t="s">
        <v>108</v>
      </c>
      <c r="C121" s="21" t="s">
        <v>280</v>
      </c>
      <c r="D121" s="22">
        <v>2</v>
      </c>
      <c r="E121" s="22"/>
      <c r="F121" s="22"/>
      <c r="G121" s="22">
        <f t="shared" si="5"/>
        <v>2</v>
      </c>
      <c r="H121" s="24" t="e">
        <f>VLOOKUP(A121,#REF!,5,0)</f>
        <v>#REF!</v>
      </c>
      <c r="I121" s="25" t="e">
        <f>SUM(#REF!)</f>
        <v>#REF!</v>
      </c>
      <c r="J121" s="25" t="e">
        <f>SUMIF(#REF!,'MEDIÇÃO 39'!A121,#REF!)</f>
        <v>#REF!</v>
      </c>
      <c r="K121" s="25" t="e">
        <f t="shared" si="3"/>
        <v>#REF!</v>
      </c>
      <c r="L121" s="25" t="e">
        <f>G121-K121</f>
        <v>#REF!</v>
      </c>
      <c r="M121" s="24" t="e">
        <f>ROUND(I121*H121,2)</f>
        <v>#REF!</v>
      </c>
      <c r="N121" s="21" t="e">
        <f>ROUND(J121*H121,2)</f>
        <v>#REF!</v>
      </c>
      <c r="O121" s="26" t="e">
        <f t="shared" si="4"/>
        <v>#REF!</v>
      </c>
      <c r="P121" s="26" t="e">
        <f>ROUND((G121*H121)-O121,2)</f>
        <v>#REF!</v>
      </c>
      <c r="Q121" s="85">
        <f>IFERROR(ROUND(O121/(G121*H121),2),0)</f>
        <v>0</v>
      </c>
    </row>
    <row r="122" spans="1:17" ht="66.599999999999994" x14ac:dyDescent="1.05">
      <c r="A122" s="19" t="s">
        <v>391</v>
      </c>
      <c r="B122" s="20" t="s">
        <v>109</v>
      </c>
      <c r="C122" s="21" t="s">
        <v>1</v>
      </c>
      <c r="D122" s="22">
        <v>2</v>
      </c>
      <c r="E122" s="22"/>
      <c r="F122" s="22"/>
      <c r="G122" s="22">
        <f t="shared" si="5"/>
        <v>2</v>
      </c>
      <c r="H122" s="24" t="e">
        <f>VLOOKUP(A122,#REF!,5,0)</f>
        <v>#REF!</v>
      </c>
      <c r="I122" s="25" t="e">
        <f>SUM(#REF!)</f>
        <v>#REF!</v>
      </c>
      <c r="J122" s="25" t="e">
        <f>SUMIF(#REF!,'MEDIÇÃO 39'!A122,#REF!)</f>
        <v>#REF!</v>
      </c>
      <c r="K122" s="25" t="e">
        <f t="shared" si="3"/>
        <v>#REF!</v>
      </c>
      <c r="L122" s="25" t="e">
        <f>G122-K122</f>
        <v>#REF!</v>
      </c>
      <c r="M122" s="24" t="e">
        <f>ROUND(I122*H122,2)</f>
        <v>#REF!</v>
      </c>
      <c r="N122" s="21" t="e">
        <f>ROUND(J122*H122,2)</f>
        <v>#REF!</v>
      </c>
      <c r="O122" s="26" t="e">
        <f t="shared" si="4"/>
        <v>#REF!</v>
      </c>
      <c r="P122" s="26" t="e">
        <f>ROUND((G122*H122)-O122,2)</f>
        <v>#REF!</v>
      </c>
      <c r="Q122" s="85">
        <f>IFERROR(ROUND(O122/(G122*H122),2),0)</f>
        <v>0</v>
      </c>
    </row>
    <row r="123" spans="1:17" ht="66.599999999999994" x14ac:dyDescent="1.05">
      <c r="A123" s="19" t="s">
        <v>392</v>
      </c>
      <c r="B123" s="20" t="s">
        <v>110</v>
      </c>
      <c r="C123" s="21" t="s">
        <v>1</v>
      </c>
      <c r="D123" s="22">
        <v>2</v>
      </c>
      <c r="E123" s="22"/>
      <c r="F123" s="22"/>
      <c r="G123" s="22">
        <f t="shared" si="5"/>
        <v>2</v>
      </c>
      <c r="H123" s="24" t="e">
        <f>VLOOKUP(A123,#REF!,5,0)</f>
        <v>#REF!</v>
      </c>
      <c r="I123" s="25" t="e">
        <f>SUM(#REF!)</f>
        <v>#REF!</v>
      </c>
      <c r="J123" s="25" t="e">
        <f>SUMIF(#REF!,'MEDIÇÃO 39'!A123,#REF!)</f>
        <v>#REF!</v>
      </c>
      <c r="K123" s="25" t="e">
        <f t="shared" si="3"/>
        <v>#REF!</v>
      </c>
      <c r="L123" s="25" t="e">
        <f>G123-K123</f>
        <v>#REF!</v>
      </c>
      <c r="M123" s="24" t="e">
        <f>ROUND(I123*H123,2)</f>
        <v>#REF!</v>
      </c>
      <c r="N123" s="21" t="e">
        <f>ROUND(J123*H123,2)</f>
        <v>#REF!</v>
      </c>
      <c r="O123" s="26" t="e">
        <f t="shared" si="4"/>
        <v>#REF!</v>
      </c>
      <c r="P123" s="26" t="e">
        <f>ROUND((G123*H123)-O123,2)</f>
        <v>#REF!</v>
      </c>
      <c r="Q123" s="85">
        <f>IFERROR(ROUND(O123/(G123*H123),2),0)</f>
        <v>0</v>
      </c>
    </row>
    <row r="124" spans="1:17" ht="66.599999999999994" x14ac:dyDescent="1.05">
      <c r="A124" s="19" t="s">
        <v>393</v>
      </c>
      <c r="B124" s="20" t="s">
        <v>111</v>
      </c>
      <c r="C124" s="21" t="s">
        <v>276</v>
      </c>
      <c r="D124" s="22">
        <v>50</v>
      </c>
      <c r="E124" s="22"/>
      <c r="F124" s="22"/>
      <c r="G124" s="22">
        <f t="shared" si="5"/>
        <v>50</v>
      </c>
      <c r="H124" s="24" t="e">
        <f>VLOOKUP(A124,#REF!,5,0)</f>
        <v>#REF!</v>
      </c>
      <c r="I124" s="25" t="e">
        <f>SUM(#REF!)</f>
        <v>#REF!</v>
      </c>
      <c r="J124" s="25" t="e">
        <f>SUMIF(#REF!,'MEDIÇÃO 39'!A124,#REF!)</f>
        <v>#REF!</v>
      </c>
      <c r="K124" s="25" t="e">
        <f t="shared" si="3"/>
        <v>#REF!</v>
      </c>
      <c r="L124" s="25" t="e">
        <f>G124-K124</f>
        <v>#REF!</v>
      </c>
      <c r="M124" s="24" t="e">
        <f>ROUND(I124*H124,2)</f>
        <v>#REF!</v>
      </c>
      <c r="N124" s="21" t="e">
        <f>ROUND(J124*H124,2)</f>
        <v>#REF!</v>
      </c>
      <c r="O124" s="26" t="e">
        <f t="shared" si="4"/>
        <v>#REF!</v>
      </c>
      <c r="P124" s="26" t="e">
        <f>ROUND((G124*H124)-O124,2)</f>
        <v>#REF!</v>
      </c>
      <c r="Q124" s="85">
        <f>IFERROR(ROUND(O124/(G124*H124),2),0)</f>
        <v>0</v>
      </c>
    </row>
    <row r="125" spans="1:17" ht="133.19999999999999" x14ac:dyDescent="1.05">
      <c r="A125" s="19" t="s">
        <v>394</v>
      </c>
      <c r="B125" s="20" t="s">
        <v>112</v>
      </c>
      <c r="C125" s="21" t="s">
        <v>276</v>
      </c>
      <c r="D125" s="22">
        <v>120</v>
      </c>
      <c r="E125" s="22"/>
      <c r="F125" s="22"/>
      <c r="G125" s="22">
        <f t="shared" si="5"/>
        <v>120</v>
      </c>
      <c r="H125" s="24" t="e">
        <f>VLOOKUP(A125,#REF!,5,0)</f>
        <v>#REF!</v>
      </c>
      <c r="I125" s="25" t="e">
        <f>SUM(#REF!)</f>
        <v>#REF!</v>
      </c>
      <c r="J125" s="25" t="e">
        <f>SUMIF(#REF!,'MEDIÇÃO 39'!A125,#REF!)</f>
        <v>#REF!</v>
      </c>
      <c r="K125" s="25" t="e">
        <f t="shared" si="3"/>
        <v>#REF!</v>
      </c>
      <c r="L125" s="25" t="e">
        <f>G125-K125</f>
        <v>#REF!</v>
      </c>
      <c r="M125" s="24" t="e">
        <f>ROUND(I125*H125,2)</f>
        <v>#REF!</v>
      </c>
      <c r="N125" s="21" t="e">
        <f>ROUND(J125*H125,2)</f>
        <v>#REF!</v>
      </c>
      <c r="O125" s="26" t="e">
        <f t="shared" si="4"/>
        <v>#REF!</v>
      </c>
      <c r="P125" s="26" t="e">
        <f>ROUND((G125*H125)-O125,2)</f>
        <v>#REF!</v>
      </c>
      <c r="Q125" s="85">
        <f>IFERROR(ROUND(O125/(G125*H125),2),0)</f>
        <v>0</v>
      </c>
    </row>
    <row r="126" spans="1:17" ht="133.19999999999999" x14ac:dyDescent="1.05">
      <c r="A126" s="19" t="s">
        <v>395</v>
      </c>
      <c r="B126" s="20" t="s">
        <v>113</v>
      </c>
      <c r="C126" s="21" t="s">
        <v>276</v>
      </c>
      <c r="D126" s="22">
        <v>17600</v>
      </c>
      <c r="E126" s="22">
        <v>5000</v>
      </c>
      <c r="F126" s="22"/>
      <c r="G126" s="22">
        <f t="shared" si="5"/>
        <v>22600</v>
      </c>
      <c r="H126" s="24" t="e">
        <f>VLOOKUP(A126,#REF!,5,0)</f>
        <v>#REF!</v>
      </c>
      <c r="I126" s="25" t="e">
        <f>SUM(#REF!)</f>
        <v>#REF!</v>
      </c>
      <c r="J126" s="25" t="e">
        <f>SUMIF(#REF!,'MEDIÇÃO 39'!A126,#REF!)</f>
        <v>#REF!</v>
      </c>
      <c r="K126" s="25" t="e">
        <f t="shared" si="3"/>
        <v>#REF!</v>
      </c>
      <c r="L126" s="25" t="e">
        <f>G126-K126</f>
        <v>#REF!</v>
      </c>
      <c r="M126" s="24" t="e">
        <f>ROUND(I126*H126,2)</f>
        <v>#REF!</v>
      </c>
      <c r="N126" s="21" t="e">
        <f>ROUND(J126*H126,2)</f>
        <v>#REF!</v>
      </c>
      <c r="O126" s="26" t="e">
        <f t="shared" si="4"/>
        <v>#REF!</v>
      </c>
      <c r="P126" s="26" t="e">
        <f>ROUND((G126*H126)-O126,2)</f>
        <v>#REF!</v>
      </c>
      <c r="Q126" s="85">
        <f>IFERROR(ROUND(O126/(G126*H126),2),0)</f>
        <v>0</v>
      </c>
    </row>
    <row r="127" spans="1:17" ht="133.19999999999999" x14ac:dyDescent="1.05">
      <c r="A127" s="19" t="s">
        <v>396</v>
      </c>
      <c r="B127" s="20" t="s">
        <v>114</v>
      </c>
      <c r="C127" s="21" t="s">
        <v>276</v>
      </c>
      <c r="D127" s="22">
        <v>250</v>
      </c>
      <c r="E127" s="22"/>
      <c r="F127" s="22"/>
      <c r="G127" s="22">
        <f t="shared" si="5"/>
        <v>250</v>
      </c>
      <c r="H127" s="24" t="e">
        <f>VLOOKUP(A127,#REF!,5,0)</f>
        <v>#REF!</v>
      </c>
      <c r="I127" s="25" t="e">
        <f>SUM(#REF!)</f>
        <v>#REF!</v>
      </c>
      <c r="J127" s="25" t="e">
        <f>SUMIF(#REF!,'MEDIÇÃO 39'!A127,#REF!)</f>
        <v>#REF!</v>
      </c>
      <c r="K127" s="25" t="e">
        <f t="shared" si="3"/>
        <v>#REF!</v>
      </c>
      <c r="L127" s="25" t="e">
        <f>G127-K127</f>
        <v>#REF!</v>
      </c>
      <c r="M127" s="24" t="e">
        <f>ROUND(I127*H127,2)</f>
        <v>#REF!</v>
      </c>
      <c r="N127" s="21" t="e">
        <f>ROUND(J127*H127,2)</f>
        <v>#REF!</v>
      </c>
      <c r="O127" s="26" t="e">
        <f t="shared" si="4"/>
        <v>#REF!</v>
      </c>
      <c r="P127" s="26" t="e">
        <f>ROUND((G127*H127)-O127,2)</f>
        <v>#REF!</v>
      </c>
      <c r="Q127" s="85">
        <f>IFERROR(ROUND(O127/(G127*H127),2),0)</f>
        <v>0</v>
      </c>
    </row>
    <row r="128" spans="1:17" ht="133.19999999999999" x14ac:dyDescent="1.05">
      <c r="A128" s="19" t="s">
        <v>397</v>
      </c>
      <c r="B128" s="20" t="s">
        <v>115</v>
      </c>
      <c r="C128" s="21" t="s">
        <v>276</v>
      </c>
      <c r="D128" s="22">
        <v>100</v>
      </c>
      <c r="E128" s="22"/>
      <c r="F128" s="22"/>
      <c r="G128" s="22">
        <f t="shared" si="5"/>
        <v>100</v>
      </c>
      <c r="H128" s="24" t="e">
        <f>VLOOKUP(A128,#REF!,5,0)</f>
        <v>#REF!</v>
      </c>
      <c r="I128" s="25" t="e">
        <f>SUM(#REF!)</f>
        <v>#REF!</v>
      </c>
      <c r="J128" s="25" t="e">
        <f>SUMIF(#REF!,'MEDIÇÃO 39'!A128,#REF!)</f>
        <v>#REF!</v>
      </c>
      <c r="K128" s="25" t="e">
        <f t="shared" si="3"/>
        <v>#REF!</v>
      </c>
      <c r="L128" s="25" t="e">
        <f>G128-K128</f>
        <v>#REF!</v>
      </c>
      <c r="M128" s="24" t="e">
        <f>ROUND(I128*H128,2)</f>
        <v>#REF!</v>
      </c>
      <c r="N128" s="21" t="e">
        <f>ROUND(J128*H128,2)</f>
        <v>#REF!</v>
      </c>
      <c r="O128" s="26" t="e">
        <f t="shared" si="4"/>
        <v>#REF!</v>
      </c>
      <c r="P128" s="26" t="e">
        <f>ROUND((G128*H128)-O128,2)</f>
        <v>#REF!</v>
      </c>
      <c r="Q128" s="85">
        <f>IFERROR(ROUND(O128/(G128*H128),2),0)</f>
        <v>0</v>
      </c>
    </row>
    <row r="129" spans="1:17" ht="133.19999999999999" x14ac:dyDescent="1.05">
      <c r="A129" s="19" t="s">
        <v>398</v>
      </c>
      <c r="B129" s="20" t="s">
        <v>116</v>
      </c>
      <c r="C129" s="21" t="s">
        <v>276</v>
      </c>
      <c r="D129" s="22">
        <v>2500</v>
      </c>
      <c r="E129" s="22"/>
      <c r="F129" s="22"/>
      <c r="G129" s="22">
        <f t="shared" si="5"/>
        <v>2500</v>
      </c>
      <c r="H129" s="24" t="e">
        <f>VLOOKUP(A129,#REF!,5,0)</f>
        <v>#REF!</v>
      </c>
      <c r="I129" s="25" t="e">
        <f>SUM(#REF!)</f>
        <v>#REF!</v>
      </c>
      <c r="J129" s="25" t="e">
        <f>SUMIF(#REF!,'MEDIÇÃO 39'!A129,#REF!)</f>
        <v>#REF!</v>
      </c>
      <c r="K129" s="25" t="e">
        <f t="shared" si="3"/>
        <v>#REF!</v>
      </c>
      <c r="L129" s="25" t="e">
        <f>G129-K129</f>
        <v>#REF!</v>
      </c>
      <c r="M129" s="24" t="e">
        <f>ROUND(I129*H129,2)</f>
        <v>#REF!</v>
      </c>
      <c r="N129" s="21" t="e">
        <f>ROUND(J129*H129,2)</f>
        <v>#REF!</v>
      </c>
      <c r="O129" s="26" t="e">
        <f t="shared" si="4"/>
        <v>#REF!</v>
      </c>
      <c r="P129" s="26" t="e">
        <f>ROUND((G129*H129)-O129,2)</f>
        <v>#REF!</v>
      </c>
      <c r="Q129" s="85">
        <f>IFERROR(ROUND(O129/(G129*H129),2),0)</f>
        <v>0</v>
      </c>
    </row>
    <row r="130" spans="1:17" ht="133.19999999999999" x14ac:dyDescent="1.05">
      <c r="A130" s="19" t="s">
        <v>399</v>
      </c>
      <c r="B130" s="20" t="s">
        <v>117</v>
      </c>
      <c r="C130" s="21" t="s">
        <v>276</v>
      </c>
      <c r="D130" s="22">
        <v>100</v>
      </c>
      <c r="E130" s="22"/>
      <c r="F130" s="22"/>
      <c r="G130" s="22">
        <f t="shared" si="5"/>
        <v>100</v>
      </c>
      <c r="H130" s="24" t="e">
        <f>VLOOKUP(A130,#REF!,5,0)</f>
        <v>#REF!</v>
      </c>
      <c r="I130" s="25" t="e">
        <f>SUM(#REF!)</f>
        <v>#REF!</v>
      </c>
      <c r="J130" s="25" t="e">
        <f>SUMIF(#REF!,'MEDIÇÃO 39'!A130,#REF!)</f>
        <v>#REF!</v>
      </c>
      <c r="K130" s="25" t="e">
        <f t="shared" si="3"/>
        <v>#REF!</v>
      </c>
      <c r="L130" s="25" t="e">
        <f>G130-K130</f>
        <v>#REF!</v>
      </c>
      <c r="M130" s="24" t="e">
        <f>ROUND(I130*H130,2)</f>
        <v>#REF!</v>
      </c>
      <c r="N130" s="21" t="e">
        <f>ROUND(J130*H130,2)</f>
        <v>#REF!</v>
      </c>
      <c r="O130" s="26" t="e">
        <f t="shared" si="4"/>
        <v>#REF!</v>
      </c>
      <c r="P130" s="26" t="e">
        <f>ROUND((G130*H130)-O130,2)</f>
        <v>#REF!</v>
      </c>
      <c r="Q130" s="85">
        <f>IFERROR(ROUND(O130/(G130*H130),2),0)</f>
        <v>0</v>
      </c>
    </row>
    <row r="131" spans="1:17" ht="133.19999999999999" x14ac:dyDescent="1.05">
      <c r="A131" s="19" t="s">
        <v>400</v>
      </c>
      <c r="B131" s="20" t="s">
        <v>118</v>
      </c>
      <c r="C131" s="21" t="s">
        <v>276</v>
      </c>
      <c r="D131" s="22">
        <v>100</v>
      </c>
      <c r="E131" s="22"/>
      <c r="F131" s="22"/>
      <c r="G131" s="22">
        <f t="shared" si="5"/>
        <v>100</v>
      </c>
      <c r="H131" s="24" t="e">
        <f>VLOOKUP(A131,#REF!,5,0)</f>
        <v>#REF!</v>
      </c>
      <c r="I131" s="25" t="e">
        <f>SUM(#REF!)</f>
        <v>#REF!</v>
      </c>
      <c r="J131" s="25" t="e">
        <f>SUMIF(#REF!,'MEDIÇÃO 39'!A131,#REF!)</f>
        <v>#REF!</v>
      </c>
      <c r="K131" s="25" t="e">
        <f t="shared" si="3"/>
        <v>#REF!</v>
      </c>
      <c r="L131" s="25" t="e">
        <f>G131-K131</f>
        <v>#REF!</v>
      </c>
      <c r="M131" s="24" t="e">
        <f>ROUND(I131*H131,2)</f>
        <v>#REF!</v>
      </c>
      <c r="N131" s="21" t="e">
        <f>ROUND(J131*H131,2)</f>
        <v>#REF!</v>
      </c>
      <c r="O131" s="26" t="e">
        <f t="shared" si="4"/>
        <v>#REF!</v>
      </c>
      <c r="P131" s="26" t="e">
        <f>ROUND((G131*H131)-O131,2)</f>
        <v>#REF!</v>
      </c>
      <c r="Q131" s="85">
        <f>IFERROR(ROUND(O131/(G131*H131),2),0)</f>
        <v>0</v>
      </c>
    </row>
    <row r="132" spans="1:17" ht="133.19999999999999" x14ac:dyDescent="1.05">
      <c r="A132" s="19" t="s">
        <v>401</v>
      </c>
      <c r="B132" s="20" t="s">
        <v>119</v>
      </c>
      <c r="C132" s="21" t="s">
        <v>276</v>
      </c>
      <c r="D132" s="22">
        <v>100</v>
      </c>
      <c r="E132" s="22"/>
      <c r="F132" s="22"/>
      <c r="G132" s="22">
        <f t="shared" si="5"/>
        <v>100</v>
      </c>
      <c r="H132" s="24" t="e">
        <f>VLOOKUP(A132,#REF!,5,0)</f>
        <v>#REF!</v>
      </c>
      <c r="I132" s="25" t="e">
        <f>SUM(#REF!)</f>
        <v>#REF!</v>
      </c>
      <c r="J132" s="25" t="e">
        <f>SUMIF(#REF!,'MEDIÇÃO 39'!A132,#REF!)</f>
        <v>#REF!</v>
      </c>
      <c r="K132" s="25" t="e">
        <f t="shared" si="3"/>
        <v>#REF!</v>
      </c>
      <c r="L132" s="25" t="e">
        <f>G132-K132</f>
        <v>#REF!</v>
      </c>
      <c r="M132" s="24" t="e">
        <f>ROUND(I132*H132,2)</f>
        <v>#REF!</v>
      </c>
      <c r="N132" s="21" t="e">
        <f>ROUND(J132*H132,2)</f>
        <v>#REF!</v>
      </c>
      <c r="O132" s="26" t="e">
        <f t="shared" si="4"/>
        <v>#REF!</v>
      </c>
      <c r="P132" s="26" t="e">
        <f>ROUND((G132*H132)-O132,2)</f>
        <v>#REF!</v>
      </c>
      <c r="Q132" s="85">
        <f>IFERROR(ROUND(O132/(G132*H132),2),0)</f>
        <v>0</v>
      </c>
    </row>
    <row r="133" spans="1:17" ht="133.19999999999999" x14ac:dyDescent="1.05">
      <c r="A133" s="19" t="s">
        <v>402</v>
      </c>
      <c r="B133" s="20" t="s">
        <v>120</v>
      </c>
      <c r="C133" s="21" t="s">
        <v>276</v>
      </c>
      <c r="D133" s="22">
        <v>7424</v>
      </c>
      <c r="E133" s="22">
        <v>1000</v>
      </c>
      <c r="F133" s="22"/>
      <c r="G133" s="22">
        <f t="shared" si="5"/>
        <v>8424</v>
      </c>
      <c r="H133" s="24" t="e">
        <f>VLOOKUP(A133,#REF!,5,0)</f>
        <v>#REF!</v>
      </c>
      <c r="I133" s="25" t="e">
        <f>SUM(#REF!)</f>
        <v>#REF!</v>
      </c>
      <c r="J133" s="25" t="e">
        <f>SUMIF(#REF!,'MEDIÇÃO 39'!A133,#REF!)</f>
        <v>#REF!</v>
      </c>
      <c r="K133" s="25" t="e">
        <f t="shared" si="3"/>
        <v>#REF!</v>
      </c>
      <c r="L133" s="25" t="e">
        <f>G133-K133</f>
        <v>#REF!</v>
      </c>
      <c r="M133" s="24" t="e">
        <f>ROUND(I133*H133,2)</f>
        <v>#REF!</v>
      </c>
      <c r="N133" s="21" t="e">
        <f>ROUND(J133*H133,2)</f>
        <v>#REF!</v>
      </c>
      <c r="O133" s="26" t="e">
        <f t="shared" si="4"/>
        <v>#REF!</v>
      </c>
      <c r="P133" s="26" t="e">
        <f>ROUND((G133*H133)-O133,2)</f>
        <v>#REF!</v>
      </c>
      <c r="Q133" s="85">
        <f>IFERROR(ROUND(O133/(G133*H133),2),0)</f>
        <v>0</v>
      </c>
    </row>
    <row r="134" spans="1:17" ht="133.19999999999999" x14ac:dyDescent="1.05">
      <c r="A134" s="19" t="s">
        <v>403</v>
      </c>
      <c r="B134" s="20" t="s">
        <v>121</v>
      </c>
      <c r="C134" s="21" t="s">
        <v>276</v>
      </c>
      <c r="D134" s="22">
        <v>90</v>
      </c>
      <c r="E134" s="22"/>
      <c r="F134" s="22"/>
      <c r="G134" s="22">
        <f>SUM(D134:F134)</f>
        <v>90</v>
      </c>
      <c r="H134" s="24" t="e">
        <f>VLOOKUP(A134,#REF!,5,0)</f>
        <v>#REF!</v>
      </c>
      <c r="I134" s="25" t="e">
        <f>SUM(#REF!)</f>
        <v>#REF!</v>
      </c>
      <c r="J134" s="25" t="e">
        <f>SUMIF(#REF!,'MEDIÇÃO 39'!A134,#REF!)</f>
        <v>#REF!</v>
      </c>
      <c r="K134" s="25" t="e">
        <f t="shared" si="3"/>
        <v>#REF!</v>
      </c>
      <c r="L134" s="25" t="e">
        <f>G134-K134</f>
        <v>#REF!</v>
      </c>
      <c r="M134" s="24" t="e">
        <f>ROUND(I134*H134,2)</f>
        <v>#REF!</v>
      </c>
      <c r="N134" s="21" t="e">
        <f>ROUND(J134*H134,2)</f>
        <v>#REF!</v>
      </c>
      <c r="O134" s="26" t="e">
        <f t="shared" si="4"/>
        <v>#REF!</v>
      </c>
      <c r="P134" s="26" t="e">
        <f>ROUND((G134*H134)-O134,2)</f>
        <v>#REF!</v>
      </c>
      <c r="Q134" s="85">
        <f>IFERROR(ROUND(O134/(G134*H134),2),0)</f>
        <v>0</v>
      </c>
    </row>
    <row r="135" spans="1:17" ht="133.19999999999999" x14ac:dyDescent="1.05">
      <c r="A135" s="19" t="s">
        <v>404</v>
      </c>
      <c r="B135" s="20" t="s">
        <v>122</v>
      </c>
      <c r="C135" s="21" t="s">
        <v>276</v>
      </c>
      <c r="D135" s="22">
        <v>100</v>
      </c>
      <c r="E135" s="22"/>
      <c r="F135" s="22"/>
      <c r="G135" s="22">
        <f t="shared" si="5"/>
        <v>100</v>
      </c>
      <c r="H135" s="24" t="e">
        <f>VLOOKUP(A135,#REF!,5,0)</f>
        <v>#REF!</v>
      </c>
      <c r="I135" s="25" t="e">
        <f>SUM(#REF!)</f>
        <v>#REF!</v>
      </c>
      <c r="J135" s="25" t="e">
        <f>SUMIF(#REF!,'MEDIÇÃO 39'!A135,#REF!)</f>
        <v>#REF!</v>
      </c>
      <c r="K135" s="25" t="e">
        <f t="shared" si="3"/>
        <v>#REF!</v>
      </c>
      <c r="L135" s="25" t="e">
        <f>G135-K135</f>
        <v>#REF!</v>
      </c>
      <c r="M135" s="24" t="e">
        <f>ROUND(I135*H135,2)</f>
        <v>#REF!</v>
      </c>
      <c r="N135" s="21" t="e">
        <f>ROUND(J135*H135,2)</f>
        <v>#REF!</v>
      </c>
      <c r="O135" s="26" t="e">
        <f t="shared" si="4"/>
        <v>#REF!</v>
      </c>
      <c r="P135" s="26" t="e">
        <f>ROUND((G135*H135)-O135,2)</f>
        <v>#REF!</v>
      </c>
      <c r="Q135" s="85">
        <f>IFERROR(ROUND(O135/(G135*H135),2),0)</f>
        <v>0</v>
      </c>
    </row>
    <row r="136" spans="1:17" ht="133.19999999999999" x14ac:dyDescent="1.05">
      <c r="A136" s="19" t="s">
        <v>405</v>
      </c>
      <c r="B136" s="20" t="s">
        <v>123</v>
      </c>
      <c r="C136" s="21" t="s">
        <v>276</v>
      </c>
      <c r="D136" s="22">
        <v>1000</v>
      </c>
      <c r="E136" s="22"/>
      <c r="F136" s="22">
        <v>500</v>
      </c>
      <c r="G136" s="22">
        <f t="shared" si="5"/>
        <v>1500</v>
      </c>
      <c r="H136" s="24" t="e">
        <f>VLOOKUP(A136,#REF!,5,0)</f>
        <v>#REF!</v>
      </c>
      <c r="I136" s="25" t="e">
        <f>SUM(#REF!)</f>
        <v>#REF!</v>
      </c>
      <c r="J136" s="25" t="e">
        <f>SUMIF(#REF!,'MEDIÇÃO 39'!A136,#REF!)</f>
        <v>#REF!</v>
      </c>
      <c r="K136" s="25" t="e">
        <f t="shared" si="3"/>
        <v>#REF!</v>
      </c>
      <c r="L136" s="25" t="e">
        <f>G136-K136</f>
        <v>#REF!</v>
      </c>
      <c r="M136" s="24" t="e">
        <f>ROUND(I136*H136,2)</f>
        <v>#REF!</v>
      </c>
      <c r="N136" s="21" t="e">
        <f>ROUND(J136*H136,2)</f>
        <v>#REF!</v>
      </c>
      <c r="O136" s="26" t="e">
        <f t="shared" si="4"/>
        <v>#REF!</v>
      </c>
      <c r="P136" s="26" t="e">
        <f>ROUND((G136*H136)-O136,2)</f>
        <v>#REF!</v>
      </c>
      <c r="Q136" s="85">
        <f>IFERROR(ROUND(O136/(G136*H136),2),0)</f>
        <v>0</v>
      </c>
    </row>
    <row r="137" spans="1:17" ht="133.19999999999999" x14ac:dyDescent="1.05">
      <c r="A137" s="19" t="s">
        <v>406</v>
      </c>
      <c r="B137" s="20" t="s">
        <v>124</v>
      </c>
      <c r="C137" s="21" t="s">
        <v>276</v>
      </c>
      <c r="D137" s="22">
        <v>100</v>
      </c>
      <c r="E137" s="22"/>
      <c r="F137" s="22">
        <v>50</v>
      </c>
      <c r="G137" s="22">
        <f t="shared" si="5"/>
        <v>150</v>
      </c>
      <c r="H137" s="24" t="e">
        <f>VLOOKUP(A137,#REF!,5,0)</f>
        <v>#REF!</v>
      </c>
      <c r="I137" s="25" t="e">
        <f>SUM(#REF!)</f>
        <v>#REF!</v>
      </c>
      <c r="J137" s="25" t="e">
        <f>SUMIF(#REF!,'MEDIÇÃO 39'!A137,#REF!)</f>
        <v>#REF!</v>
      </c>
      <c r="K137" s="25" t="e">
        <f t="shared" si="3"/>
        <v>#REF!</v>
      </c>
      <c r="L137" s="25" t="e">
        <f>G137-K137</f>
        <v>#REF!</v>
      </c>
      <c r="M137" s="24" t="e">
        <f>ROUND(I137*H137,2)</f>
        <v>#REF!</v>
      </c>
      <c r="N137" s="21" t="e">
        <f>ROUND(J137*H137,2)</f>
        <v>#REF!</v>
      </c>
      <c r="O137" s="26" t="e">
        <f t="shared" si="4"/>
        <v>#REF!</v>
      </c>
      <c r="P137" s="26" t="e">
        <f>ROUND((G137*H137)-O137,2)</f>
        <v>#REF!</v>
      </c>
      <c r="Q137" s="85">
        <f>IFERROR(ROUND(O137/(G137*H137),2),0)</f>
        <v>0</v>
      </c>
    </row>
    <row r="138" spans="1:17" ht="133.19999999999999" x14ac:dyDescent="1.05">
      <c r="A138" s="19" t="s">
        <v>407</v>
      </c>
      <c r="B138" s="20" t="s">
        <v>125</v>
      </c>
      <c r="C138" s="21" t="s">
        <v>276</v>
      </c>
      <c r="D138" s="22">
        <v>100</v>
      </c>
      <c r="E138" s="22"/>
      <c r="F138" s="22"/>
      <c r="G138" s="22">
        <f t="shared" si="5"/>
        <v>100</v>
      </c>
      <c r="H138" s="24" t="e">
        <f>VLOOKUP(A138,#REF!,5,0)</f>
        <v>#REF!</v>
      </c>
      <c r="I138" s="25" t="e">
        <f>SUM(#REF!)</f>
        <v>#REF!</v>
      </c>
      <c r="J138" s="25" t="e">
        <f>SUMIF(#REF!,'MEDIÇÃO 39'!A138,#REF!)</f>
        <v>#REF!</v>
      </c>
      <c r="K138" s="25" t="e">
        <f t="shared" si="3"/>
        <v>#REF!</v>
      </c>
      <c r="L138" s="25" t="e">
        <f>G138-K138</f>
        <v>#REF!</v>
      </c>
      <c r="M138" s="24" t="e">
        <f>ROUND(I138*H138,2)</f>
        <v>#REF!</v>
      </c>
      <c r="N138" s="21" t="e">
        <f>ROUND(J138*H138,2)</f>
        <v>#REF!</v>
      </c>
      <c r="O138" s="26" t="e">
        <f t="shared" si="4"/>
        <v>#REF!</v>
      </c>
      <c r="P138" s="26" t="e">
        <f>ROUND((G138*H138)-O138,2)</f>
        <v>#REF!</v>
      </c>
      <c r="Q138" s="85">
        <f>IFERROR(ROUND(O138/(G138*H138),2),0)</f>
        <v>0</v>
      </c>
    </row>
    <row r="139" spans="1:17" ht="133.19999999999999" x14ac:dyDescent="1.05">
      <c r="A139" s="19" t="s">
        <v>408</v>
      </c>
      <c r="B139" s="20" t="s">
        <v>126</v>
      </c>
      <c r="C139" s="21" t="s">
        <v>276</v>
      </c>
      <c r="D139" s="22">
        <v>2500</v>
      </c>
      <c r="E139" s="22">
        <v>4000</v>
      </c>
      <c r="F139" s="22">
        <v>3000</v>
      </c>
      <c r="G139" s="22">
        <f>SUM(D139:F139)</f>
        <v>9500</v>
      </c>
      <c r="H139" s="24" t="e">
        <f>VLOOKUP(A139,#REF!,5,0)</f>
        <v>#REF!</v>
      </c>
      <c r="I139" s="25" t="e">
        <f>SUM(#REF!)</f>
        <v>#REF!</v>
      </c>
      <c r="J139" s="25" t="e">
        <f>SUMIF(#REF!,'MEDIÇÃO 39'!A139,#REF!)</f>
        <v>#REF!</v>
      </c>
      <c r="K139" s="25" t="e">
        <f>I139+J139</f>
        <v>#REF!</v>
      </c>
      <c r="L139" s="25" t="e">
        <f>G139-K139</f>
        <v>#REF!</v>
      </c>
      <c r="M139" s="24" t="e">
        <f>ROUND(I139*H139,2)</f>
        <v>#REF!</v>
      </c>
      <c r="N139" s="21" t="e">
        <f>ROUND(J139*H139,2)</f>
        <v>#REF!</v>
      </c>
      <c r="O139" s="26" t="e">
        <f>ROUND(M139+N139,2)</f>
        <v>#REF!</v>
      </c>
      <c r="P139" s="26" t="e">
        <f>ROUND((G139*H139)-O139,2)</f>
        <v>#REF!</v>
      </c>
      <c r="Q139" s="85">
        <f>IFERROR(ROUND(O139/(G139*H139),2),0)</f>
        <v>0</v>
      </c>
    </row>
    <row r="140" spans="1:17" ht="133.19999999999999" x14ac:dyDescent="1.05">
      <c r="A140" s="19" t="s">
        <v>409</v>
      </c>
      <c r="B140" s="20" t="s">
        <v>127</v>
      </c>
      <c r="C140" s="21" t="s">
        <v>277</v>
      </c>
      <c r="D140" s="22">
        <v>200</v>
      </c>
      <c r="E140" s="22"/>
      <c r="F140" s="22"/>
      <c r="G140" s="22">
        <f t="shared" si="5"/>
        <v>200</v>
      </c>
      <c r="H140" s="24" t="e">
        <f>VLOOKUP(A140,#REF!,5,0)</f>
        <v>#REF!</v>
      </c>
      <c r="I140" s="25" t="e">
        <f>SUM(#REF!)</f>
        <v>#REF!</v>
      </c>
      <c r="J140" s="25" t="e">
        <f>SUMIF(#REF!,'MEDIÇÃO 39'!A140,#REF!)</f>
        <v>#REF!</v>
      </c>
      <c r="K140" s="25" t="e">
        <f t="shared" si="3"/>
        <v>#REF!</v>
      </c>
      <c r="L140" s="25" t="e">
        <f>G140-K140</f>
        <v>#REF!</v>
      </c>
      <c r="M140" s="24" t="e">
        <f>ROUND(I140*H140,2)</f>
        <v>#REF!</v>
      </c>
      <c r="N140" s="21" t="e">
        <f>ROUND(J140*H140,2)</f>
        <v>#REF!</v>
      </c>
      <c r="O140" s="26" t="e">
        <f t="shared" si="4"/>
        <v>#REF!</v>
      </c>
      <c r="P140" s="26" t="e">
        <f>ROUND((G140*H140)-O140,2)</f>
        <v>#REF!</v>
      </c>
      <c r="Q140" s="85">
        <f>IFERROR(ROUND(O140/(G140*H140),2),0)</f>
        <v>0</v>
      </c>
    </row>
    <row r="141" spans="1:17" ht="199.8" x14ac:dyDescent="1.05">
      <c r="A141" s="19" t="s">
        <v>410</v>
      </c>
      <c r="B141" s="20" t="s">
        <v>128</v>
      </c>
      <c r="C141" s="21" t="s">
        <v>277</v>
      </c>
      <c r="D141" s="22">
        <v>15</v>
      </c>
      <c r="E141" s="22"/>
      <c r="F141" s="22"/>
      <c r="G141" s="22">
        <f t="shared" si="5"/>
        <v>15</v>
      </c>
      <c r="H141" s="24" t="e">
        <f>VLOOKUP(A141,#REF!,5,0)</f>
        <v>#REF!</v>
      </c>
      <c r="I141" s="25" t="e">
        <f>SUM(#REF!)</f>
        <v>#REF!</v>
      </c>
      <c r="J141" s="25" t="e">
        <f>SUMIF(#REF!,'MEDIÇÃO 39'!A141,#REF!)</f>
        <v>#REF!</v>
      </c>
      <c r="K141" s="25" t="e">
        <f t="shared" si="3"/>
        <v>#REF!</v>
      </c>
      <c r="L141" s="25" t="e">
        <f>G141-K141</f>
        <v>#REF!</v>
      </c>
      <c r="M141" s="24" t="e">
        <f>ROUND(I141*H141,2)</f>
        <v>#REF!</v>
      </c>
      <c r="N141" s="21" t="e">
        <f>ROUND(J141*H141,2)</f>
        <v>#REF!</v>
      </c>
      <c r="O141" s="26" t="e">
        <f t="shared" si="4"/>
        <v>#REF!</v>
      </c>
      <c r="P141" s="26" t="e">
        <f>ROUND((G141*H141)-O141,2)</f>
        <v>#REF!</v>
      </c>
      <c r="Q141" s="85">
        <f>IFERROR(ROUND(O141/(G141*H141),2),0)</f>
        <v>0</v>
      </c>
    </row>
    <row r="142" spans="1:17" ht="133.19999999999999" x14ac:dyDescent="1.05">
      <c r="A142" s="19" t="s">
        <v>411</v>
      </c>
      <c r="B142" s="20" t="s">
        <v>129</v>
      </c>
      <c r="C142" s="21" t="s">
        <v>277</v>
      </c>
      <c r="D142" s="22">
        <v>10</v>
      </c>
      <c r="E142" s="22">
        <v>50</v>
      </c>
      <c r="F142" s="22"/>
      <c r="G142" s="22">
        <f t="shared" si="5"/>
        <v>60</v>
      </c>
      <c r="H142" s="24" t="e">
        <f>VLOOKUP(A142,#REF!,5,0)</f>
        <v>#REF!</v>
      </c>
      <c r="I142" s="25" t="e">
        <f>SUM(#REF!)</f>
        <v>#REF!</v>
      </c>
      <c r="J142" s="25" t="e">
        <f>SUMIF(#REF!,'MEDIÇÃO 39'!A142,#REF!)</f>
        <v>#REF!</v>
      </c>
      <c r="K142" s="25" t="e">
        <f t="shared" si="3"/>
        <v>#REF!</v>
      </c>
      <c r="L142" s="25" t="e">
        <f>G142-K142</f>
        <v>#REF!</v>
      </c>
      <c r="M142" s="24" t="e">
        <f>ROUND(I142*H142,2)</f>
        <v>#REF!</v>
      </c>
      <c r="N142" s="21" t="e">
        <f>ROUND(J142*H142,2)</f>
        <v>#REF!</v>
      </c>
      <c r="O142" s="26" t="e">
        <f t="shared" si="4"/>
        <v>#REF!</v>
      </c>
      <c r="P142" s="26" t="e">
        <f>ROUND((G142*H142)-O142,2)</f>
        <v>#REF!</v>
      </c>
      <c r="Q142" s="85">
        <f>IFERROR(ROUND(O142/(G142*H142),2),0)</f>
        <v>0</v>
      </c>
    </row>
    <row r="143" spans="1:17" ht="66.599999999999994" x14ac:dyDescent="1.05">
      <c r="A143" s="19" t="s">
        <v>412</v>
      </c>
      <c r="B143" s="20" t="s">
        <v>130</v>
      </c>
      <c r="C143" s="21" t="s">
        <v>277</v>
      </c>
      <c r="D143" s="22">
        <v>2</v>
      </c>
      <c r="E143" s="22"/>
      <c r="F143" s="22"/>
      <c r="G143" s="22">
        <f t="shared" si="5"/>
        <v>2</v>
      </c>
      <c r="H143" s="24" t="e">
        <f>VLOOKUP(A143,#REF!,5,0)</f>
        <v>#REF!</v>
      </c>
      <c r="I143" s="25" t="e">
        <f>SUM(#REF!)</f>
        <v>#REF!</v>
      </c>
      <c r="J143" s="25" t="e">
        <f>SUMIF(#REF!,'MEDIÇÃO 39'!A143,#REF!)</f>
        <v>#REF!</v>
      </c>
      <c r="K143" s="25" t="e">
        <f t="shared" si="3"/>
        <v>#REF!</v>
      </c>
      <c r="L143" s="25" t="e">
        <f>G143-K143</f>
        <v>#REF!</v>
      </c>
      <c r="M143" s="24" t="e">
        <f>ROUND(I143*H143,2)</f>
        <v>#REF!</v>
      </c>
      <c r="N143" s="21" t="e">
        <f>ROUND(J143*H143,2)</f>
        <v>#REF!</v>
      </c>
      <c r="O143" s="26" t="e">
        <f t="shared" si="4"/>
        <v>#REF!</v>
      </c>
      <c r="P143" s="26" t="e">
        <f>ROUND((G143*H143)-O143,2)</f>
        <v>#REF!</v>
      </c>
      <c r="Q143" s="85">
        <f>IFERROR(ROUND(O143/(G143*H143),2),0)</f>
        <v>0</v>
      </c>
    </row>
    <row r="144" spans="1:17" ht="66.599999999999994" x14ac:dyDescent="1.05">
      <c r="A144" s="19" t="s">
        <v>413</v>
      </c>
      <c r="B144" s="20" t="s">
        <v>131</v>
      </c>
      <c r="C144" s="21" t="s">
        <v>277</v>
      </c>
      <c r="D144" s="22">
        <v>2</v>
      </c>
      <c r="E144" s="22"/>
      <c r="F144" s="22"/>
      <c r="G144" s="22">
        <f t="shared" si="5"/>
        <v>2</v>
      </c>
      <c r="H144" s="24" t="e">
        <f>VLOOKUP(A144,#REF!,5,0)</f>
        <v>#REF!</v>
      </c>
      <c r="I144" s="25" t="e">
        <f>SUM(#REF!)</f>
        <v>#REF!</v>
      </c>
      <c r="J144" s="25" t="e">
        <f>SUMIF(#REF!,'MEDIÇÃO 39'!A144,#REF!)</f>
        <v>#REF!</v>
      </c>
      <c r="K144" s="25" t="e">
        <f t="shared" ref="K144:K207" si="6">I144+J144</f>
        <v>#REF!</v>
      </c>
      <c r="L144" s="25" t="e">
        <f>G144-K144</f>
        <v>#REF!</v>
      </c>
      <c r="M144" s="24" t="e">
        <f>ROUND(I144*H144,2)</f>
        <v>#REF!</v>
      </c>
      <c r="N144" s="21" t="e">
        <f>ROUND(J144*H144,2)</f>
        <v>#REF!</v>
      </c>
      <c r="O144" s="26" t="e">
        <f t="shared" ref="O144:O207" si="7">ROUND(M144+N144,2)</f>
        <v>#REF!</v>
      </c>
      <c r="P144" s="26" t="e">
        <f>ROUND((G144*H144)-O144,2)</f>
        <v>#REF!</v>
      </c>
      <c r="Q144" s="85">
        <f>IFERROR(ROUND(O144/(G144*H144),2),0)</f>
        <v>0</v>
      </c>
    </row>
    <row r="145" spans="1:17" ht="66.599999999999994" x14ac:dyDescent="1.05">
      <c r="A145" s="19" t="s">
        <v>414</v>
      </c>
      <c r="B145" s="20" t="s">
        <v>132</v>
      </c>
      <c r="C145" s="21" t="s">
        <v>277</v>
      </c>
      <c r="D145" s="22">
        <v>2</v>
      </c>
      <c r="E145" s="22"/>
      <c r="F145" s="22"/>
      <c r="G145" s="22">
        <f t="shared" ref="G145:G208" si="8">SUM(D145:F145)</f>
        <v>2</v>
      </c>
      <c r="H145" s="24" t="e">
        <f>VLOOKUP(A145,#REF!,5,0)</f>
        <v>#REF!</v>
      </c>
      <c r="I145" s="25" t="e">
        <f>SUM(#REF!)</f>
        <v>#REF!</v>
      </c>
      <c r="J145" s="25" t="e">
        <f>SUMIF(#REF!,'MEDIÇÃO 39'!A145,#REF!)</f>
        <v>#REF!</v>
      </c>
      <c r="K145" s="25" t="e">
        <f t="shared" si="6"/>
        <v>#REF!</v>
      </c>
      <c r="L145" s="25" t="e">
        <f>G145-K145</f>
        <v>#REF!</v>
      </c>
      <c r="M145" s="24" t="e">
        <f>ROUND(I145*H145,2)</f>
        <v>#REF!</v>
      </c>
      <c r="N145" s="21" t="e">
        <f>ROUND(J145*H145,2)</f>
        <v>#REF!</v>
      </c>
      <c r="O145" s="26" t="e">
        <f t="shared" si="7"/>
        <v>#REF!</v>
      </c>
      <c r="P145" s="26" t="e">
        <f>ROUND((G145*H145)-O145,2)</f>
        <v>#REF!</v>
      </c>
      <c r="Q145" s="85">
        <f>IFERROR(ROUND(O145/(G145*H145),2),0)</f>
        <v>0</v>
      </c>
    </row>
    <row r="146" spans="1:17" ht="66.599999999999994" x14ac:dyDescent="1.05">
      <c r="A146" s="19" t="s">
        <v>415</v>
      </c>
      <c r="B146" s="20" t="s">
        <v>133</v>
      </c>
      <c r="C146" s="21" t="s">
        <v>277</v>
      </c>
      <c r="D146" s="22">
        <v>5</v>
      </c>
      <c r="E146" s="22"/>
      <c r="F146" s="22"/>
      <c r="G146" s="22">
        <f t="shared" si="8"/>
        <v>5</v>
      </c>
      <c r="H146" s="24" t="e">
        <f>VLOOKUP(A146,#REF!,5,0)</f>
        <v>#REF!</v>
      </c>
      <c r="I146" s="25" t="e">
        <f>SUM(#REF!)</f>
        <v>#REF!</v>
      </c>
      <c r="J146" s="25" t="e">
        <f>SUMIF(#REF!,'MEDIÇÃO 39'!A146,#REF!)</f>
        <v>#REF!</v>
      </c>
      <c r="K146" s="25" t="e">
        <f t="shared" si="6"/>
        <v>#REF!</v>
      </c>
      <c r="L146" s="25" t="e">
        <f>G146-K146</f>
        <v>#REF!</v>
      </c>
      <c r="M146" s="24" t="e">
        <f>ROUND(I146*H146,2)</f>
        <v>#REF!</v>
      </c>
      <c r="N146" s="21" t="e">
        <f>ROUND(J146*H146,2)</f>
        <v>#REF!</v>
      </c>
      <c r="O146" s="26" t="e">
        <f t="shared" si="7"/>
        <v>#REF!</v>
      </c>
      <c r="P146" s="26" t="e">
        <f>ROUND((G146*H146)-O146,2)</f>
        <v>#REF!</v>
      </c>
      <c r="Q146" s="85">
        <f>IFERROR(ROUND(O146/(G146*H146),2),0)</f>
        <v>0</v>
      </c>
    </row>
    <row r="147" spans="1:17" ht="66.599999999999994" x14ac:dyDescent="1.05">
      <c r="A147" s="19" t="s">
        <v>416</v>
      </c>
      <c r="B147" s="20" t="s">
        <v>134</v>
      </c>
      <c r="C147" s="21" t="s">
        <v>277</v>
      </c>
      <c r="D147" s="22">
        <v>5</v>
      </c>
      <c r="E147" s="22"/>
      <c r="F147" s="22"/>
      <c r="G147" s="22">
        <f t="shared" si="8"/>
        <v>5</v>
      </c>
      <c r="H147" s="24" t="e">
        <f>VLOOKUP(A147,#REF!,5,0)</f>
        <v>#REF!</v>
      </c>
      <c r="I147" s="25" t="e">
        <f>SUM(#REF!)</f>
        <v>#REF!</v>
      </c>
      <c r="J147" s="25" t="e">
        <f>SUMIF(#REF!,'MEDIÇÃO 39'!A147,#REF!)</f>
        <v>#REF!</v>
      </c>
      <c r="K147" s="25" t="e">
        <f t="shared" si="6"/>
        <v>#REF!</v>
      </c>
      <c r="L147" s="25" t="e">
        <f>G147-K147</f>
        <v>#REF!</v>
      </c>
      <c r="M147" s="24" t="e">
        <f>ROUND(I147*H147,2)</f>
        <v>#REF!</v>
      </c>
      <c r="N147" s="21" t="e">
        <f>ROUND(J147*H147,2)</f>
        <v>#REF!</v>
      </c>
      <c r="O147" s="26" t="e">
        <f t="shared" si="7"/>
        <v>#REF!</v>
      </c>
      <c r="P147" s="26" t="e">
        <f>ROUND((G147*H147)-O147,2)</f>
        <v>#REF!</v>
      </c>
      <c r="Q147" s="85">
        <f>IFERROR(ROUND(O147/(G147*H147),2),0)</f>
        <v>0</v>
      </c>
    </row>
    <row r="148" spans="1:17" ht="66.599999999999994" x14ac:dyDescent="1.05">
      <c r="A148" s="19" t="s">
        <v>417</v>
      </c>
      <c r="B148" s="20" t="s">
        <v>135</v>
      </c>
      <c r="C148" s="21" t="s">
        <v>277</v>
      </c>
      <c r="D148" s="22">
        <v>5</v>
      </c>
      <c r="E148" s="22"/>
      <c r="F148" s="22"/>
      <c r="G148" s="22">
        <f t="shared" si="8"/>
        <v>5</v>
      </c>
      <c r="H148" s="24" t="e">
        <f>VLOOKUP(A148,#REF!,5,0)</f>
        <v>#REF!</v>
      </c>
      <c r="I148" s="25" t="e">
        <f>SUM(#REF!)</f>
        <v>#REF!</v>
      </c>
      <c r="J148" s="25" t="e">
        <f>SUMIF(#REF!,'MEDIÇÃO 39'!A148,#REF!)</f>
        <v>#REF!</v>
      </c>
      <c r="K148" s="25" t="e">
        <f t="shared" si="6"/>
        <v>#REF!</v>
      </c>
      <c r="L148" s="25" t="e">
        <f>G148-K148</f>
        <v>#REF!</v>
      </c>
      <c r="M148" s="24" t="e">
        <f>ROUND(I148*H148,2)</f>
        <v>#REF!</v>
      </c>
      <c r="N148" s="21" t="e">
        <f>ROUND(J148*H148,2)</f>
        <v>#REF!</v>
      </c>
      <c r="O148" s="26" t="e">
        <f t="shared" si="7"/>
        <v>#REF!</v>
      </c>
      <c r="P148" s="26" t="e">
        <f>ROUND((G148*H148)-O148,2)</f>
        <v>#REF!</v>
      </c>
      <c r="Q148" s="85">
        <f>IFERROR(ROUND(O148/(G148*H148),2),0)</f>
        <v>0</v>
      </c>
    </row>
    <row r="149" spans="1:17" ht="66.599999999999994" x14ac:dyDescent="1.05">
      <c r="A149" s="19" t="s">
        <v>418</v>
      </c>
      <c r="B149" s="20" t="s">
        <v>136</v>
      </c>
      <c r="C149" s="21" t="s">
        <v>277</v>
      </c>
      <c r="D149" s="22">
        <v>5</v>
      </c>
      <c r="E149" s="22"/>
      <c r="F149" s="22"/>
      <c r="G149" s="22">
        <f t="shared" si="8"/>
        <v>5</v>
      </c>
      <c r="H149" s="24" t="e">
        <f>VLOOKUP(A149,#REF!,5,0)</f>
        <v>#REF!</v>
      </c>
      <c r="I149" s="25" t="e">
        <f>SUM(#REF!)</f>
        <v>#REF!</v>
      </c>
      <c r="J149" s="25" t="e">
        <f>SUMIF(#REF!,'MEDIÇÃO 39'!A149,#REF!)</f>
        <v>#REF!</v>
      </c>
      <c r="K149" s="25" t="e">
        <f t="shared" si="6"/>
        <v>#REF!</v>
      </c>
      <c r="L149" s="25" t="e">
        <f>G149-K149</f>
        <v>#REF!</v>
      </c>
      <c r="M149" s="24" t="e">
        <f>ROUND(I149*H149,2)</f>
        <v>#REF!</v>
      </c>
      <c r="N149" s="21" t="e">
        <f>ROUND(J149*H149,2)</f>
        <v>#REF!</v>
      </c>
      <c r="O149" s="26" t="e">
        <f t="shared" si="7"/>
        <v>#REF!</v>
      </c>
      <c r="P149" s="26" t="e">
        <f>ROUND((G149*H149)-O149,2)</f>
        <v>#REF!</v>
      </c>
      <c r="Q149" s="85">
        <f>IFERROR(ROUND(O149/(G149*H149),2),0)</f>
        <v>0</v>
      </c>
    </row>
    <row r="150" spans="1:17" ht="66.599999999999994" x14ac:dyDescent="1.05">
      <c r="A150" s="19" t="s">
        <v>419</v>
      </c>
      <c r="B150" s="20" t="s">
        <v>137</v>
      </c>
      <c r="C150" s="21" t="s">
        <v>277</v>
      </c>
      <c r="D150" s="22">
        <v>5</v>
      </c>
      <c r="E150" s="22"/>
      <c r="F150" s="22"/>
      <c r="G150" s="22">
        <f t="shared" si="8"/>
        <v>5</v>
      </c>
      <c r="H150" s="24" t="e">
        <f>VLOOKUP(A150,#REF!,5,0)</f>
        <v>#REF!</v>
      </c>
      <c r="I150" s="25" t="e">
        <f>SUM(#REF!)</f>
        <v>#REF!</v>
      </c>
      <c r="J150" s="25" t="e">
        <f>SUMIF(#REF!,'MEDIÇÃO 39'!A150,#REF!)</f>
        <v>#REF!</v>
      </c>
      <c r="K150" s="25" t="e">
        <f t="shared" si="6"/>
        <v>#REF!</v>
      </c>
      <c r="L150" s="25" t="e">
        <f>G150-K150</f>
        <v>#REF!</v>
      </c>
      <c r="M150" s="24" t="e">
        <f>ROUND(I150*H150,2)</f>
        <v>#REF!</v>
      </c>
      <c r="N150" s="21" t="e">
        <f>ROUND(J150*H150,2)</f>
        <v>#REF!</v>
      </c>
      <c r="O150" s="26" t="e">
        <f t="shared" si="7"/>
        <v>#REF!</v>
      </c>
      <c r="P150" s="26" t="e">
        <f>ROUND((G150*H150)-O150,2)</f>
        <v>#REF!</v>
      </c>
      <c r="Q150" s="85">
        <f>IFERROR(ROUND(O150/(G150*H150),2),0)</f>
        <v>0</v>
      </c>
    </row>
    <row r="151" spans="1:17" ht="66.599999999999994" x14ac:dyDescent="1.05">
      <c r="A151" s="19" t="s">
        <v>420</v>
      </c>
      <c r="B151" s="20" t="s">
        <v>138</v>
      </c>
      <c r="C151" s="21" t="s">
        <v>277</v>
      </c>
      <c r="D151" s="22">
        <v>5</v>
      </c>
      <c r="E151" s="22"/>
      <c r="F151" s="22"/>
      <c r="G151" s="22">
        <f t="shared" si="8"/>
        <v>5</v>
      </c>
      <c r="H151" s="24" t="e">
        <f>VLOOKUP(A151,#REF!,5,0)</f>
        <v>#REF!</v>
      </c>
      <c r="I151" s="25" t="e">
        <f>SUM(#REF!)</f>
        <v>#REF!</v>
      </c>
      <c r="J151" s="25" t="e">
        <f>SUMIF(#REF!,'MEDIÇÃO 39'!A151,#REF!)</f>
        <v>#REF!</v>
      </c>
      <c r="K151" s="25" t="e">
        <f t="shared" si="6"/>
        <v>#REF!</v>
      </c>
      <c r="L151" s="25" t="e">
        <f>G151-K151</f>
        <v>#REF!</v>
      </c>
      <c r="M151" s="24" t="e">
        <f>ROUND(I151*H151,2)</f>
        <v>#REF!</v>
      </c>
      <c r="N151" s="21" t="e">
        <f>ROUND(J151*H151,2)</f>
        <v>#REF!</v>
      </c>
      <c r="O151" s="26" t="e">
        <f t="shared" si="7"/>
        <v>#REF!</v>
      </c>
      <c r="P151" s="26" t="e">
        <f>ROUND((G151*H151)-O151,2)</f>
        <v>#REF!</v>
      </c>
      <c r="Q151" s="85">
        <f>IFERROR(ROUND(O151/(G151*H151),2),0)</f>
        <v>0</v>
      </c>
    </row>
    <row r="152" spans="1:17" ht="66.599999999999994" x14ac:dyDescent="1.05">
      <c r="A152" s="19" t="s">
        <v>421</v>
      </c>
      <c r="B152" s="20" t="s">
        <v>139</v>
      </c>
      <c r="C152" s="21" t="s">
        <v>277</v>
      </c>
      <c r="D152" s="22">
        <v>5</v>
      </c>
      <c r="E152" s="22"/>
      <c r="F152" s="22"/>
      <c r="G152" s="22">
        <f t="shared" si="8"/>
        <v>5</v>
      </c>
      <c r="H152" s="24" t="e">
        <f>VLOOKUP(A152,#REF!,5,0)</f>
        <v>#REF!</v>
      </c>
      <c r="I152" s="25" t="e">
        <f>SUM(#REF!)</f>
        <v>#REF!</v>
      </c>
      <c r="J152" s="25" t="e">
        <f>SUMIF(#REF!,'MEDIÇÃO 39'!A152,#REF!)</f>
        <v>#REF!</v>
      </c>
      <c r="K152" s="25" t="e">
        <f t="shared" si="6"/>
        <v>#REF!</v>
      </c>
      <c r="L152" s="25" t="e">
        <f>G152-K152</f>
        <v>#REF!</v>
      </c>
      <c r="M152" s="24" t="e">
        <f>ROUND(I152*H152,2)</f>
        <v>#REF!</v>
      </c>
      <c r="N152" s="21" t="e">
        <f>ROUND(J152*H152,2)</f>
        <v>#REF!</v>
      </c>
      <c r="O152" s="26" t="e">
        <f t="shared" si="7"/>
        <v>#REF!</v>
      </c>
      <c r="P152" s="26" t="e">
        <f>ROUND((G152*H152)-O152,2)</f>
        <v>#REF!</v>
      </c>
      <c r="Q152" s="85">
        <f>IFERROR(ROUND(O152/(G152*H152),2),0)</f>
        <v>0</v>
      </c>
    </row>
    <row r="153" spans="1:17" ht="66.599999999999994" x14ac:dyDescent="1.05">
      <c r="A153" s="19" t="s">
        <v>422</v>
      </c>
      <c r="B153" s="20" t="s">
        <v>140</v>
      </c>
      <c r="C153" s="21" t="s">
        <v>277</v>
      </c>
      <c r="D153" s="22">
        <v>5</v>
      </c>
      <c r="E153" s="22"/>
      <c r="F153" s="22"/>
      <c r="G153" s="22">
        <f t="shared" si="8"/>
        <v>5</v>
      </c>
      <c r="H153" s="24" t="e">
        <f>VLOOKUP(A153,#REF!,5,0)</f>
        <v>#REF!</v>
      </c>
      <c r="I153" s="25" t="e">
        <f>SUM(#REF!)</f>
        <v>#REF!</v>
      </c>
      <c r="J153" s="25" t="e">
        <f>SUMIF(#REF!,'MEDIÇÃO 39'!A153,#REF!)</f>
        <v>#REF!</v>
      </c>
      <c r="K153" s="25" t="e">
        <f t="shared" si="6"/>
        <v>#REF!</v>
      </c>
      <c r="L153" s="25" t="e">
        <f>G153-K153</f>
        <v>#REF!</v>
      </c>
      <c r="M153" s="24" t="e">
        <f>ROUND(I153*H153,2)</f>
        <v>#REF!</v>
      </c>
      <c r="N153" s="21" t="e">
        <f>ROUND(J153*H153,2)</f>
        <v>#REF!</v>
      </c>
      <c r="O153" s="26" t="e">
        <f t="shared" si="7"/>
        <v>#REF!</v>
      </c>
      <c r="P153" s="26" t="e">
        <f>ROUND((G153*H153)-O153,2)</f>
        <v>#REF!</v>
      </c>
      <c r="Q153" s="85">
        <f>IFERROR(ROUND(O153/(G153*H153),2),0)</f>
        <v>0</v>
      </c>
    </row>
    <row r="154" spans="1:17" ht="66.599999999999994" x14ac:dyDescent="1.05">
      <c r="A154" s="19" t="s">
        <v>423</v>
      </c>
      <c r="B154" s="20" t="s">
        <v>141</v>
      </c>
      <c r="C154" s="21" t="s">
        <v>277</v>
      </c>
      <c r="D154" s="22">
        <v>5</v>
      </c>
      <c r="E154" s="22"/>
      <c r="F154" s="22"/>
      <c r="G154" s="22">
        <f t="shared" si="8"/>
        <v>5</v>
      </c>
      <c r="H154" s="24" t="e">
        <f>VLOOKUP(A154,#REF!,5,0)</f>
        <v>#REF!</v>
      </c>
      <c r="I154" s="25" t="e">
        <f>SUM(#REF!)</f>
        <v>#REF!</v>
      </c>
      <c r="J154" s="25" t="e">
        <f>SUMIF(#REF!,'MEDIÇÃO 39'!A154,#REF!)</f>
        <v>#REF!</v>
      </c>
      <c r="K154" s="25" t="e">
        <f t="shared" si="6"/>
        <v>#REF!</v>
      </c>
      <c r="L154" s="25" t="e">
        <f>G154-K154</f>
        <v>#REF!</v>
      </c>
      <c r="M154" s="24" t="e">
        <f>ROUND(I154*H154,2)</f>
        <v>#REF!</v>
      </c>
      <c r="N154" s="21" t="e">
        <f>ROUND(J154*H154,2)</f>
        <v>#REF!</v>
      </c>
      <c r="O154" s="26" t="e">
        <f t="shared" si="7"/>
        <v>#REF!</v>
      </c>
      <c r="P154" s="26" t="e">
        <f>ROUND((G154*H154)-O154,2)</f>
        <v>#REF!</v>
      </c>
      <c r="Q154" s="85">
        <f>IFERROR(ROUND(O154/(G154*H154),2),0)</f>
        <v>0</v>
      </c>
    </row>
    <row r="155" spans="1:17" ht="66.599999999999994" x14ac:dyDescent="1.05">
      <c r="A155" s="19" t="s">
        <v>424</v>
      </c>
      <c r="B155" s="20" t="s">
        <v>142</v>
      </c>
      <c r="C155" s="21" t="s">
        <v>277</v>
      </c>
      <c r="D155" s="22">
        <v>2</v>
      </c>
      <c r="E155" s="22"/>
      <c r="F155" s="22"/>
      <c r="G155" s="22">
        <f t="shared" si="8"/>
        <v>2</v>
      </c>
      <c r="H155" s="24" t="e">
        <f>VLOOKUP(A155,#REF!,5,0)</f>
        <v>#REF!</v>
      </c>
      <c r="I155" s="25" t="e">
        <f>SUM(#REF!)</f>
        <v>#REF!</v>
      </c>
      <c r="J155" s="25" t="e">
        <f>SUMIF(#REF!,'MEDIÇÃO 39'!A155,#REF!)</f>
        <v>#REF!</v>
      </c>
      <c r="K155" s="25" t="e">
        <f t="shared" si="6"/>
        <v>#REF!</v>
      </c>
      <c r="L155" s="25" t="e">
        <f>G155-K155</f>
        <v>#REF!</v>
      </c>
      <c r="M155" s="24" t="e">
        <f>ROUND(I155*H155,2)</f>
        <v>#REF!</v>
      </c>
      <c r="N155" s="21" t="e">
        <f>ROUND(J155*H155,2)</f>
        <v>#REF!</v>
      </c>
      <c r="O155" s="26" t="e">
        <f t="shared" si="7"/>
        <v>#REF!</v>
      </c>
      <c r="P155" s="26" t="e">
        <f>ROUND((G155*H155)-O155,2)</f>
        <v>#REF!</v>
      </c>
      <c r="Q155" s="85">
        <f>IFERROR(ROUND(O155/(G155*H155),2),0)</f>
        <v>0</v>
      </c>
    </row>
    <row r="156" spans="1:17" ht="66.599999999999994" x14ac:dyDescent="1.05">
      <c r="A156" s="19" t="s">
        <v>425</v>
      </c>
      <c r="B156" s="20" t="s">
        <v>143</v>
      </c>
      <c r="C156" s="21" t="s">
        <v>277</v>
      </c>
      <c r="D156" s="22">
        <v>2</v>
      </c>
      <c r="E156" s="22"/>
      <c r="F156" s="22"/>
      <c r="G156" s="22">
        <f t="shared" si="8"/>
        <v>2</v>
      </c>
      <c r="H156" s="24" t="e">
        <f>VLOOKUP(A156,#REF!,5,0)</f>
        <v>#REF!</v>
      </c>
      <c r="I156" s="25" t="e">
        <f>SUM(#REF!)</f>
        <v>#REF!</v>
      </c>
      <c r="J156" s="25" t="e">
        <f>SUMIF(#REF!,'MEDIÇÃO 39'!A156,#REF!)</f>
        <v>#REF!</v>
      </c>
      <c r="K156" s="25" t="e">
        <f t="shared" si="6"/>
        <v>#REF!</v>
      </c>
      <c r="L156" s="25" t="e">
        <f>G156-K156</f>
        <v>#REF!</v>
      </c>
      <c r="M156" s="24" t="e">
        <f>ROUND(I156*H156,2)</f>
        <v>#REF!</v>
      </c>
      <c r="N156" s="21" t="e">
        <f>ROUND(J156*H156,2)</f>
        <v>#REF!</v>
      </c>
      <c r="O156" s="26" t="e">
        <f t="shared" si="7"/>
        <v>#REF!</v>
      </c>
      <c r="P156" s="26" t="e">
        <f>ROUND((G156*H156)-O156,2)</f>
        <v>#REF!</v>
      </c>
      <c r="Q156" s="85">
        <f>IFERROR(ROUND(O156/(G156*H156),2),0)</f>
        <v>0</v>
      </c>
    </row>
    <row r="157" spans="1:17" ht="66.599999999999994" x14ac:dyDescent="1.05">
      <c r="A157" s="19" t="s">
        <v>426</v>
      </c>
      <c r="B157" s="20" t="s">
        <v>144</v>
      </c>
      <c r="C157" s="21" t="s">
        <v>277</v>
      </c>
      <c r="D157" s="22">
        <v>2</v>
      </c>
      <c r="E157" s="22"/>
      <c r="F157" s="22"/>
      <c r="G157" s="22">
        <f t="shared" si="8"/>
        <v>2</v>
      </c>
      <c r="H157" s="24" t="e">
        <f>VLOOKUP(A157,#REF!,5,0)</f>
        <v>#REF!</v>
      </c>
      <c r="I157" s="25" t="e">
        <f>SUM(#REF!)</f>
        <v>#REF!</v>
      </c>
      <c r="J157" s="25" t="e">
        <f>SUMIF(#REF!,'MEDIÇÃO 39'!A157,#REF!)</f>
        <v>#REF!</v>
      </c>
      <c r="K157" s="25" t="e">
        <f t="shared" si="6"/>
        <v>#REF!</v>
      </c>
      <c r="L157" s="25" t="e">
        <f>G157-K157</f>
        <v>#REF!</v>
      </c>
      <c r="M157" s="24" t="e">
        <f>ROUND(I157*H157,2)</f>
        <v>#REF!</v>
      </c>
      <c r="N157" s="21" t="e">
        <f>ROUND(J157*H157,2)</f>
        <v>#REF!</v>
      </c>
      <c r="O157" s="26" t="e">
        <f t="shared" si="7"/>
        <v>#REF!</v>
      </c>
      <c r="P157" s="26" t="e">
        <f>ROUND((G157*H157)-O157,2)</f>
        <v>#REF!</v>
      </c>
      <c r="Q157" s="85">
        <f>IFERROR(ROUND(O157/(G157*H157),2),0)</f>
        <v>0</v>
      </c>
    </row>
    <row r="158" spans="1:17" ht="133.19999999999999" x14ac:dyDescent="1.05">
      <c r="A158" s="19" t="s">
        <v>427</v>
      </c>
      <c r="B158" s="20" t="s">
        <v>145</v>
      </c>
      <c r="C158" s="21" t="s">
        <v>276</v>
      </c>
      <c r="D158" s="22">
        <v>50</v>
      </c>
      <c r="E158" s="22"/>
      <c r="F158" s="22"/>
      <c r="G158" s="22">
        <f t="shared" si="8"/>
        <v>50</v>
      </c>
      <c r="H158" s="24" t="e">
        <f>VLOOKUP(A158,#REF!,5,0)</f>
        <v>#REF!</v>
      </c>
      <c r="I158" s="25" t="e">
        <f>SUM(#REF!)</f>
        <v>#REF!</v>
      </c>
      <c r="J158" s="25" t="e">
        <f>SUMIF(#REF!,'MEDIÇÃO 39'!A158,#REF!)</f>
        <v>#REF!</v>
      </c>
      <c r="K158" s="25" t="e">
        <f t="shared" si="6"/>
        <v>#REF!</v>
      </c>
      <c r="L158" s="25" t="e">
        <f>G158-K158</f>
        <v>#REF!</v>
      </c>
      <c r="M158" s="24" t="e">
        <f>ROUND(I158*H158,2)</f>
        <v>#REF!</v>
      </c>
      <c r="N158" s="21" t="e">
        <f>ROUND(J158*H158,2)</f>
        <v>#REF!</v>
      </c>
      <c r="O158" s="26" t="e">
        <f t="shared" si="7"/>
        <v>#REF!</v>
      </c>
      <c r="P158" s="26" t="e">
        <f>ROUND((G158*H158)-O158,2)</f>
        <v>#REF!</v>
      </c>
      <c r="Q158" s="85">
        <f>IFERROR(ROUND(O158/(G158*H158),2),0)</f>
        <v>0</v>
      </c>
    </row>
    <row r="159" spans="1:17" ht="199.8" x14ac:dyDescent="1.05">
      <c r="A159" s="19" t="s">
        <v>428</v>
      </c>
      <c r="B159" s="20" t="s">
        <v>146</v>
      </c>
      <c r="C159" s="21" t="s">
        <v>277</v>
      </c>
      <c r="D159" s="22">
        <v>2</v>
      </c>
      <c r="E159" s="22"/>
      <c r="F159" s="22"/>
      <c r="G159" s="22">
        <f t="shared" si="8"/>
        <v>2</v>
      </c>
      <c r="H159" s="24" t="e">
        <f>VLOOKUP(A159,#REF!,5,0)</f>
        <v>#REF!</v>
      </c>
      <c r="I159" s="25" t="e">
        <f>SUM(#REF!)</f>
        <v>#REF!</v>
      </c>
      <c r="J159" s="25" t="e">
        <f>SUMIF(#REF!,'MEDIÇÃO 39'!A159,#REF!)</f>
        <v>#REF!</v>
      </c>
      <c r="K159" s="25" t="e">
        <f t="shared" si="6"/>
        <v>#REF!</v>
      </c>
      <c r="L159" s="25" t="e">
        <f>G159-K159</f>
        <v>#REF!</v>
      </c>
      <c r="M159" s="24" t="e">
        <f>ROUND(I159*H159,2)</f>
        <v>#REF!</v>
      </c>
      <c r="N159" s="21" t="e">
        <f>ROUND(J159*H159,2)</f>
        <v>#REF!</v>
      </c>
      <c r="O159" s="26" t="e">
        <f t="shared" si="7"/>
        <v>#REF!</v>
      </c>
      <c r="P159" s="26" t="e">
        <f>ROUND((G159*H159)-O159,2)</f>
        <v>#REF!</v>
      </c>
      <c r="Q159" s="85">
        <f>IFERROR(ROUND(O159/(G159*H159),2),0)</f>
        <v>0</v>
      </c>
    </row>
    <row r="160" spans="1:17" ht="199.8" x14ac:dyDescent="1.05">
      <c r="A160" s="19" t="s">
        <v>429</v>
      </c>
      <c r="B160" s="20" t="s">
        <v>147</v>
      </c>
      <c r="C160" s="21" t="s">
        <v>277</v>
      </c>
      <c r="D160" s="22">
        <v>2</v>
      </c>
      <c r="E160" s="22"/>
      <c r="F160" s="22"/>
      <c r="G160" s="22">
        <f t="shared" si="8"/>
        <v>2</v>
      </c>
      <c r="H160" s="24" t="e">
        <f>VLOOKUP(A160,#REF!,5,0)</f>
        <v>#REF!</v>
      </c>
      <c r="I160" s="25" t="e">
        <f>SUM(#REF!)</f>
        <v>#REF!</v>
      </c>
      <c r="J160" s="25" t="e">
        <f>SUMIF(#REF!,'MEDIÇÃO 39'!A160,#REF!)</f>
        <v>#REF!</v>
      </c>
      <c r="K160" s="25" t="e">
        <f t="shared" si="6"/>
        <v>#REF!</v>
      </c>
      <c r="L160" s="25" t="e">
        <f>G160-K160</f>
        <v>#REF!</v>
      </c>
      <c r="M160" s="24" t="e">
        <f>ROUND(I160*H160,2)</f>
        <v>#REF!</v>
      </c>
      <c r="N160" s="21" t="e">
        <f>ROUND(J160*H160,2)</f>
        <v>#REF!</v>
      </c>
      <c r="O160" s="26" t="e">
        <f t="shared" si="7"/>
        <v>#REF!</v>
      </c>
      <c r="P160" s="26" t="e">
        <f>ROUND((G160*H160)-O160,2)</f>
        <v>#REF!</v>
      </c>
      <c r="Q160" s="85">
        <f>IFERROR(ROUND(O160/(G160*H160),2),0)</f>
        <v>0</v>
      </c>
    </row>
    <row r="161" spans="1:17" ht="199.8" x14ac:dyDescent="1.05">
      <c r="A161" s="19" t="s">
        <v>430</v>
      </c>
      <c r="B161" s="20" t="s">
        <v>148</v>
      </c>
      <c r="C161" s="21" t="s">
        <v>277</v>
      </c>
      <c r="D161" s="22">
        <v>2</v>
      </c>
      <c r="E161" s="22"/>
      <c r="F161" s="22"/>
      <c r="G161" s="22">
        <f t="shared" si="8"/>
        <v>2</v>
      </c>
      <c r="H161" s="24" t="e">
        <f>VLOOKUP(A161,#REF!,5,0)</f>
        <v>#REF!</v>
      </c>
      <c r="I161" s="25" t="e">
        <f>SUM(#REF!)</f>
        <v>#REF!</v>
      </c>
      <c r="J161" s="25" t="e">
        <f>SUMIF(#REF!,'MEDIÇÃO 39'!A161,#REF!)</f>
        <v>#REF!</v>
      </c>
      <c r="K161" s="25" t="e">
        <f t="shared" si="6"/>
        <v>#REF!</v>
      </c>
      <c r="L161" s="25" t="e">
        <f>G161-K161</f>
        <v>#REF!</v>
      </c>
      <c r="M161" s="24" t="e">
        <f>ROUND(I161*H161,2)</f>
        <v>#REF!</v>
      </c>
      <c r="N161" s="21" t="e">
        <f>ROUND(J161*H161,2)</f>
        <v>#REF!</v>
      </c>
      <c r="O161" s="26" t="e">
        <f t="shared" si="7"/>
        <v>#REF!</v>
      </c>
      <c r="P161" s="26" t="e">
        <f>ROUND((G161*H161)-O161,2)</f>
        <v>#REF!</v>
      </c>
      <c r="Q161" s="85">
        <f>IFERROR(ROUND(O161/(G161*H161),2),0)</f>
        <v>0</v>
      </c>
    </row>
    <row r="162" spans="1:17" ht="199.8" x14ac:dyDescent="1.05">
      <c r="A162" s="19" t="s">
        <v>431</v>
      </c>
      <c r="B162" s="20" t="s">
        <v>149</v>
      </c>
      <c r="C162" s="21" t="s">
        <v>277</v>
      </c>
      <c r="D162" s="22">
        <v>50</v>
      </c>
      <c r="E162" s="22"/>
      <c r="F162" s="22"/>
      <c r="G162" s="22">
        <f t="shared" si="8"/>
        <v>50</v>
      </c>
      <c r="H162" s="24" t="e">
        <f>VLOOKUP(A162,#REF!,5,0)</f>
        <v>#REF!</v>
      </c>
      <c r="I162" s="25" t="e">
        <f>SUM(#REF!)</f>
        <v>#REF!</v>
      </c>
      <c r="J162" s="25" t="e">
        <f>SUMIF(#REF!,'MEDIÇÃO 39'!A162,#REF!)</f>
        <v>#REF!</v>
      </c>
      <c r="K162" s="25" t="e">
        <f t="shared" si="6"/>
        <v>#REF!</v>
      </c>
      <c r="L162" s="25" t="e">
        <f>G162-K162</f>
        <v>#REF!</v>
      </c>
      <c r="M162" s="24" t="e">
        <f>ROUND(I162*H162,2)</f>
        <v>#REF!</v>
      </c>
      <c r="N162" s="21" t="e">
        <f>ROUND(J162*H162,2)</f>
        <v>#REF!</v>
      </c>
      <c r="O162" s="26" t="e">
        <f t="shared" si="7"/>
        <v>#REF!</v>
      </c>
      <c r="P162" s="26" t="e">
        <f>ROUND((G162*H162)-O162,2)</f>
        <v>#REF!</v>
      </c>
      <c r="Q162" s="85">
        <f>IFERROR(ROUND(O162/(G162*H162),2),0)</f>
        <v>0</v>
      </c>
    </row>
    <row r="163" spans="1:17" ht="66.599999999999994" x14ac:dyDescent="1.05">
      <c r="A163" s="19" t="s">
        <v>432</v>
      </c>
      <c r="B163" s="20" t="s">
        <v>150</v>
      </c>
      <c r="C163" s="21" t="s">
        <v>277</v>
      </c>
      <c r="D163" s="22">
        <v>250</v>
      </c>
      <c r="E163" s="22"/>
      <c r="F163" s="22"/>
      <c r="G163" s="22">
        <f t="shared" si="8"/>
        <v>250</v>
      </c>
      <c r="H163" s="24" t="e">
        <f>VLOOKUP(A163,#REF!,5,0)</f>
        <v>#REF!</v>
      </c>
      <c r="I163" s="25" t="e">
        <f>SUM(#REF!)</f>
        <v>#REF!</v>
      </c>
      <c r="J163" s="25" t="e">
        <f>SUMIF(#REF!,'MEDIÇÃO 39'!A163,#REF!)</f>
        <v>#REF!</v>
      </c>
      <c r="K163" s="25" t="e">
        <f t="shared" si="6"/>
        <v>#REF!</v>
      </c>
      <c r="L163" s="25" t="e">
        <f>G163-K163</f>
        <v>#REF!</v>
      </c>
      <c r="M163" s="24" t="e">
        <f>ROUND(I163*H163,2)</f>
        <v>#REF!</v>
      </c>
      <c r="N163" s="21" t="e">
        <f>ROUND(J163*H163,2)</f>
        <v>#REF!</v>
      </c>
      <c r="O163" s="26" t="e">
        <f t="shared" si="7"/>
        <v>#REF!</v>
      </c>
      <c r="P163" s="26" t="e">
        <f>ROUND((G163*H163)-O163,2)</f>
        <v>#REF!</v>
      </c>
      <c r="Q163" s="85">
        <f>IFERROR(ROUND(O163/(G163*H163),2),0)</f>
        <v>0</v>
      </c>
    </row>
    <row r="164" spans="1:17" ht="66.599999999999994" x14ac:dyDescent="1.05">
      <c r="A164" s="19" t="s">
        <v>433</v>
      </c>
      <c r="B164" s="20" t="s">
        <v>151</v>
      </c>
      <c r="C164" s="21" t="s">
        <v>277</v>
      </c>
      <c r="D164" s="22">
        <v>250</v>
      </c>
      <c r="E164" s="22"/>
      <c r="F164" s="22"/>
      <c r="G164" s="22">
        <f t="shared" si="8"/>
        <v>250</v>
      </c>
      <c r="H164" s="24" t="e">
        <f>VLOOKUP(A164,#REF!,5,0)</f>
        <v>#REF!</v>
      </c>
      <c r="I164" s="25" t="e">
        <f>SUM(#REF!)</f>
        <v>#REF!</v>
      </c>
      <c r="J164" s="25" t="e">
        <f>SUMIF(#REF!,'MEDIÇÃO 39'!A164,#REF!)</f>
        <v>#REF!</v>
      </c>
      <c r="K164" s="25" t="e">
        <f t="shared" si="6"/>
        <v>#REF!</v>
      </c>
      <c r="L164" s="25" t="e">
        <f>G164-K164</f>
        <v>#REF!</v>
      </c>
      <c r="M164" s="24" t="e">
        <f>ROUND(I164*H164,2)</f>
        <v>#REF!</v>
      </c>
      <c r="N164" s="21" t="e">
        <f>ROUND(J164*H164,2)</f>
        <v>#REF!</v>
      </c>
      <c r="O164" s="26" t="e">
        <f t="shared" si="7"/>
        <v>#REF!</v>
      </c>
      <c r="P164" s="26" t="e">
        <f>ROUND((G164*H164)-O164,2)</f>
        <v>#REF!</v>
      </c>
      <c r="Q164" s="85">
        <f>IFERROR(ROUND(O164/(G164*H164),2),0)</f>
        <v>0</v>
      </c>
    </row>
    <row r="165" spans="1:17" ht="66.599999999999994" x14ac:dyDescent="1.05">
      <c r="A165" s="19" t="s">
        <v>434</v>
      </c>
      <c r="B165" s="20" t="s">
        <v>152</v>
      </c>
      <c r="C165" s="21" t="s">
        <v>277</v>
      </c>
      <c r="D165" s="22">
        <v>250</v>
      </c>
      <c r="E165" s="22"/>
      <c r="F165" s="22"/>
      <c r="G165" s="22">
        <f t="shared" si="8"/>
        <v>250</v>
      </c>
      <c r="H165" s="24" t="e">
        <f>VLOOKUP(A165,#REF!,5,0)</f>
        <v>#REF!</v>
      </c>
      <c r="I165" s="25" t="e">
        <f>SUM(#REF!)</f>
        <v>#REF!</v>
      </c>
      <c r="J165" s="25" t="e">
        <f>SUMIF(#REF!,'MEDIÇÃO 39'!A165,#REF!)</f>
        <v>#REF!</v>
      </c>
      <c r="K165" s="25" t="e">
        <f t="shared" si="6"/>
        <v>#REF!</v>
      </c>
      <c r="L165" s="25" t="e">
        <f>G165-K165</f>
        <v>#REF!</v>
      </c>
      <c r="M165" s="24" t="e">
        <f>ROUND(I165*H165,2)</f>
        <v>#REF!</v>
      </c>
      <c r="N165" s="21" t="e">
        <f>ROUND(J165*H165,2)</f>
        <v>#REF!</v>
      </c>
      <c r="O165" s="26" t="e">
        <f t="shared" si="7"/>
        <v>#REF!</v>
      </c>
      <c r="P165" s="26" t="e">
        <f>ROUND((G165*H165)-O165,2)</f>
        <v>#REF!</v>
      </c>
      <c r="Q165" s="85">
        <f>IFERROR(ROUND(O165/(G165*H165),2),0)</f>
        <v>0</v>
      </c>
    </row>
    <row r="166" spans="1:17" ht="66.599999999999994" x14ac:dyDescent="1.05">
      <c r="A166" s="19" t="s">
        <v>435</v>
      </c>
      <c r="B166" s="20" t="s">
        <v>153</v>
      </c>
      <c r="C166" s="21" t="s">
        <v>277</v>
      </c>
      <c r="D166" s="22">
        <v>1756</v>
      </c>
      <c r="E166" s="22"/>
      <c r="F166" s="22"/>
      <c r="G166" s="22">
        <f t="shared" si="8"/>
        <v>1756</v>
      </c>
      <c r="H166" s="24" t="e">
        <f>VLOOKUP(A166,#REF!,5,0)</f>
        <v>#REF!</v>
      </c>
      <c r="I166" s="25" t="e">
        <f>SUM(#REF!)</f>
        <v>#REF!</v>
      </c>
      <c r="J166" s="25" t="e">
        <f>SUMIF(#REF!,'MEDIÇÃO 39'!A166,#REF!)</f>
        <v>#REF!</v>
      </c>
      <c r="K166" s="25" t="e">
        <f t="shared" si="6"/>
        <v>#REF!</v>
      </c>
      <c r="L166" s="25" t="e">
        <f>G166-K166</f>
        <v>#REF!</v>
      </c>
      <c r="M166" s="24" t="e">
        <f>ROUND(I166*H166,2)</f>
        <v>#REF!</v>
      </c>
      <c r="N166" s="21" t="e">
        <f>ROUND(J166*H166,2)</f>
        <v>#REF!</v>
      </c>
      <c r="O166" s="26" t="e">
        <f t="shared" si="7"/>
        <v>#REF!</v>
      </c>
      <c r="P166" s="26" t="e">
        <f>ROUND((G166*H166)-O166,2)</f>
        <v>#REF!</v>
      </c>
      <c r="Q166" s="85">
        <f>IFERROR(ROUND(O166/(G166*H166),2),0)</f>
        <v>0</v>
      </c>
    </row>
    <row r="167" spans="1:17" ht="66.599999999999994" x14ac:dyDescent="1.05">
      <c r="A167" s="19" t="s">
        <v>436</v>
      </c>
      <c r="B167" s="20" t="s">
        <v>154</v>
      </c>
      <c r="C167" s="21" t="s">
        <v>277</v>
      </c>
      <c r="D167" s="22">
        <v>1756</v>
      </c>
      <c r="E167" s="22">
        <v>800</v>
      </c>
      <c r="F167" s="22"/>
      <c r="G167" s="22">
        <f t="shared" si="8"/>
        <v>2556</v>
      </c>
      <c r="H167" s="24" t="e">
        <f>VLOOKUP(A167,#REF!,5,0)</f>
        <v>#REF!</v>
      </c>
      <c r="I167" s="25" t="e">
        <f>SUM(#REF!)</f>
        <v>#REF!</v>
      </c>
      <c r="J167" s="25" t="e">
        <f>SUMIF(#REF!,'MEDIÇÃO 39'!A167,#REF!)</f>
        <v>#REF!</v>
      </c>
      <c r="K167" s="25" t="e">
        <f t="shared" si="6"/>
        <v>#REF!</v>
      </c>
      <c r="L167" s="25" t="e">
        <f>G167-K167</f>
        <v>#REF!</v>
      </c>
      <c r="M167" s="24" t="e">
        <f>ROUND(I167*H167,2)</f>
        <v>#REF!</v>
      </c>
      <c r="N167" s="21" t="e">
        <f>ROUND(J167*H167,2)</f>
        <v>#REF!</v>
      </c>
      <c r="O167" s="26" t="e">
        <f t="shared" si="7"/>
        <v>#REF!</v>
      </c>
      <c r="P167" s="26" t="e">
        <f>ROUND((G167*H167)-O167,2)</f>
        <v>#REF!</v>
      </c>
      <c r="Q167" s="85">
        <f>IFERROR(ROUND(O167/(G167*H167),2),0)</f>
        <v>0</v>
      </c>
    </row>
    <row r="168" spans="1:17" ht="66.599999999999994" x14ac:dyDescent="1.05">
      <c r="A168" s="19" t="s">
        <v>437</v>
      </c>
      <c r="B168" s="20" t="s">
        <v>155</v>
      </c>
      <c r="C168" s="21" t="s">
        <v>277</v>
      </c>
      <c r="D168" s="22">
        <v>2195</v>
      </c>
      <c r="E168" s="22"/>
      <c r="F168" s="22"/>
      <c r="G168" s="22">
        <f t="shared" si="8"/>
        <v>2195</v>
      </c>
      <c r="H168" s="24" t="e">
        <f>VLOOKUP(A168,#REF!,5,0)</f>
        <v>#REF!</v>
      </c>
      <c r="I168" s="25" t="e">
        <f>SUM(#REF!)</f>
        <v>#REF!</v>
      </c>
      <c r="J168" s="25" t="e">
        <f>SUMIF(#REF!,'MEDIÇÃO 39'!A168,#REF!)</f>
        <v>#REF!</v>
      </c>
      <c r="K168" s="25" t="e">
        <f t="shared" si="6"/>
        <v>#REF!</v>
      </c>
      <c r="L168" s="25" t="e">
        <f>G168-K168</f>
        <v>#REF!</v>
      </c>
      <c r="M168" s="24" t="e">
        <f>ROUND(I168*H168,2)</f>
        <v>#REF!</v>
      </c>
      <c r="N168" s="21" t="e">
        <f>ROUND(J168*H168,2)</f>
        <v>#REF!</v>
      </c>
      <c r="O168" s="26" t="e">
        <f t="shared" si="7"/>
        <v>#REF!</v>
      </c>
      <c r="P168" s="26" t="e">
        <f>ROUND((G168*H168)-O168,2)</f>
        <v>#REF!</v>
      </c>
      <c r="Q168" s="85">
        <f>IFERROR(ROUND(O168/(G168*H168),2),0)</f>
        <v>0</v>
      </c>
    </row>
    <row r="169" spans="1:17" ht="66.599999999999994" x14ac:dyDescent="1.05">
      <c r="A169" s="19" t="s">
        <v>438</v>
      </c>
      <c r="B169" s="20" t="s">
        <v>156</v>
      </c>
      <c r="C169" s="21" t="s">
        <v>277</v>
      </c>
      <c r="D169" s="22">
        <v>250</v>
      </c>
      <c r="E169" s="22"/>
      <c r="F169" s="22"/>
      <c r="G169" s="22">
        <f t="shared" si="8"/>
        <v>250</v>
      </c>
      <c r="H169" s="24" t="e">
        <f>VLOOKUP(A169,#REF!,5,0)</f>
        <v>#REF!</v>
      </c>
      <c r="I169" s="25" t="e">
        <f>SUM(#REF!)</f>
        <v>#REF!</v>
      </c>
      <c r="J169" s="25" t="e">
        <f>SUMIF(#REF!,'MEDIÇÃO 39'!A169,#REF!)</f>
        <v>#REF!</v>
      </c>
      <c r="K169" s="25" t="e">
        <f t="shared" si="6"/>
        <v>#REF!</v>
      </c>
      <c r="L169" s="25" t="e">
        <f>G169-K169</f>
        <v>#REF!</v>
      </c>
      <c r="M169" s="24" t="e">
        <f>ROUND(I169*H169,2)</f>
        <v>#REF!</v>
      </c>
      <c r="N169" s="21" t="e">
        <f>ROUND(J169*H169,2)</f>
        <v>#REF!</v>
      </c>
      <c r="O169" s="26" t="e">
        <f t="shared" si="7"/>
        <v>#REF!</v>
      </c>
      <c r="P169" s="26" t="e">
        <f>ROUND((G169*H169)-O169,2)</f>
        <v>#REF!</v>
      </c>
      <c r="Q169" s="85">
        <f>IFERROR(ROUND(O169/(G169*H169),2),0)</f>
        <v>0</v>
      </c>
    </row>
    <row r="170" spans="1:17" ht="133.19999999999999" x14ac:dyDescent="1.05">
      <c r="A170" s="19" t="s">
        <v>439</v>
      </c>
      <c r="B170" s="20" t="s">
        <v>157</v>
      </c>
      <c r="C170" s="21" t="s">
        <v>277</v>
      </c>
      <c r="D170" s="22">
        <v>100</v>
      </c>
      <c r="E170" s="22"/>
      <c r="F170" s="22"/>
      <c r="G170" s="22">
        <f t="shared" si="8"/>
        <v>100</v>
      </c>
      <c r="H170" s="24" t="e">
        <f>VLOOKUP(A170,#REF!,5,0)</f>
        <v>#REF!</v>
      </c>
      <c r="I170" s="25" t="e">
        <f>SUM(#REF!)</f>
        <v>#REF!</v>
      </c>
      <c r="J170" s="25" t="e">
        <f>SUMIF(#REF!,'MEDIÇÃO 39'!A170,#REF!)</f>
        <v>#REF!</v>
      </c>
      <c r="K170" s="25" t="e">
        <f t="shared" si="6"/>
        <v>#REF!</v>
      </c>
      <c r="L170" s="25" t="e">
        <f>G170-K170</f>
        <v>#REF!</v>
      </c>
      <c r="M170" s="24" t="e">
        <f>ROUND(I170*H170,2)</f>
        <v>#REF!</v>
      </c>
      <c r="N170" s="21" t="e">
        <f>ROUND(J170*H170,2)</f>
        <v>#REF!</v>
      </c>
      <c r="O170" s="26" t="e">
        <f t="shared" si="7"/>
        <v>#REF!</v>
      </c>
      <c r="P170" s="26" t="e">
        <f>ROUND((G170*H170)-O170,2)</f>
        <v>#REF!</v>
      </c>
      <c r="Q170" s="85">
        <f>IFERROR(ROUND(O170/(G170*H170),2),0)</f>
        <v>0</v>
      </c>
    </row>
    <row r="171" spans="1:17" ht="133.19999999999999" x14ac:dyDescent="1.05">
      <c r="A171" s="19" t="s">
        <v>440</v>
      </c>
      <c r="B171" s="20" t="s">
        <v>158</v>
      </c>
      <c r="C171" s="21" t="s">
        <v>277</v>
      </c>
      <c r="D171" s="22">
        <v>2500</v>
      </c>
      <c r="E171" s="22">
        <v>350</v>
      </c>
      <c r="F171" s="22">
        <v>500</v>
      </c>
      <c r="G171" s="22">
        <f t="shared" si="8"/>
        <v>3350</v>
      </c>
      <c r="H171" s="24" t="e">
        <f>VLOOKUP(A171,#REF!,5,0)</f>
        <v>#REF!</v>
      </c>
      <c r="I171" s="25" t="e">
        <f>SUM(#REF!)</f>
        <v>#REF!</v>
      </c>
      <c r="J171" s="25" t="e">
        <f>SUMIF(#REF!,'MEDIÇÃO 39'!A171,#REF!)</f>
        <v>#REF!</v>
      </c>
      <c r="K171" s="25" t="e">
        <f t="shared" si="6"/>
        <v>#REF!</v>
      </c>
      <c r="L171" s="25" t="e">
        <f>G171-K171</f>
        <v>#REF!</v>
      </c>
      <c r="M171" s="24" t="e">
        <f>ROUND(I171*H171,2)</f>
        <v>#REF!</v>
      </c>
      <c r="N171" s="21" t="e">
        <f>ROUND(J171*H171,2)</f>
        <v>#REF!</v>
      </c>
      <c r="O171" s="26" t="e">
        <f t="shared" si="7"/>
        <v>#REF!</v>
      </c>
      <c r="P171" s="26" t="e">
        <f>ROUND((G171*H171)-O171,2)</f>
        <v>#REF!</v>
      </c>
      <c r="Q171" s="85">
        <f>IFERROR(ROUND(O171/(G171*H171),2),0)</f>
        <v>0</v>
      </c>
    </row>
    <row r="172" spans="1:17" ht="133.19999999999999" x14ac:dyDescent="1.05">
      <c r="A172" s="19" t="s">
        <v>441</v>
      </c>
      <c r="B172" s="20" t="s">
        <v>159</v>
      </c>
      <c r="C172" s="21" t="s">
        <v>277</v>
      </c>
      <c r="D172" s="22">
        <v>150</v>
      </c>
      <c r="E172" s="22"/>
      <c r="F172" s="22">
        <v>50</v>
      </c>
      <c r="G172" s="22">
        <f t="shared" si="8"/>
        <v>200</v>
      </c>
      <c r="H172" s="24" t="e">
        <f>VLOOKUP(A172,#REF!,5,0)</f>
        <v>#REF!</v>
      </c>
      <c r="I172" s="25" t="e">
        <f>SUM(#REF!)</f>
        <v>#REF!</v>
      </c>
      <c r="J172" s="25" t="e">
        <f>SUMIF(#REF!,'MEDIÇÃO 39'!A172,#REF!)</f>
        <v>#REF!</v>
      </c>
      <c r="K172" s="25" t="e">
        <f t="shared" si="6"/>
        <v>#REF!</v>
      </c>
      <c r="L172" s="25" t="e">
        <f>G172-K172</f>
        <v>#REF!</v>
      </c>
      <c r="M172" s="24" t="e">
        <f>ROUND(I172*H172,2)</f>
        <v>#REF!</v>
      </c>
      <c r="N172" s="21" t="e">
        <f>ROUND(J172*H172,2)</f>
        <v>#REF!</v>
      </c>
      <c r="O172" s="26" t="e">
        <f t="shared" si="7"/>
        <v>#REF!</v>
      </c>
      <c r="P172" s="26" t="e">
        <f>ROUND((G172*H172)-O172,2)</f>
        <v>#REF!</v>
      </c>
      <c r="Q172" s="85">
        <f>IFERROR(ROUND(O172/(G172*H172),2),0)</f>
        <v>0</v>
      </c>
    </row>
    <row r="173" spans="1:17" ht="133.19999999999999" x14ac:dyDescent="1.05">
      <c r="A173" s="19" t="s">
        <v>442</v>
      </c>
      <c r="B173" s="20" t="s">
        <v>160</v>
      </c>
      <c r="C173" s="21" t="s">
        <v>277</v>
      </c>
      <c r="D173" s="22">
        <v>100</v>
      </c>
      <c r="E173" s="22"/>
      <c r="F173" s="22"/>
      <c r="G173" s="22">
        <f t="shared" si="8"/>
        <v>100</v>
      </c>
      <c r="H173" s="24" t="e">
        <f>VLOOKUP(A173,#REF!,5,0)</f>
        <v>#REF!</v>
      </c>
      <c r="I173" s="25" t="e">
        <f>SUM(#REF!)</f>
        <v>#REF!</v>
      </c>
      <c r="J173" s="25" t="e">
        <f>SUMIF(#REF!,'MEDIÇÃO 39'!A173,#REF!)</f>
        <v>#REF!</v>
      </c>
      <c r="K173" s="25" t="e">
        <f t="shared" si="6"/>
        <v>#REF!</v>
      </c>
      <c r="L173" s="25" t="e">
        <f>G173-K173</f>
        <v>#REF!</v>
      </c>
      <c r="M173" s="24" t="e">
        <f>ROUND(I173*H173,2)</f>
        <v>#REF!</v>
      </c>
      <c r="N173" s="21" t="e">
        <f>ROUND(J173*H173,2)</f>
        <v>#REF!</v>
      </c>
      <c r="O173" s="26" t="e">
        <f t="shared" si="7"/>
        <v>#REF!</v>
      </c>
      <c r="P173" s="26" t="e">
        <f>ROUND((G173*H173)-O173,2)</f>
        <v>#REF!</v>
      </c>
      <c r="Q173" s="85">
        <f>IFERROR(ROUND(O173/(G173*H173),2),0)</f>
        <v>0</v>
      </c>
    </row>
    <row r="174" spans="1:17" ht="66.599999999999994" x14ac:dyDescent="1.05">
      <c r="A174" s="19" t="s">
        <v>443</v>
      </c>
      <c r="B174" s="20" t="s">
        <v>161</v>
      </c>
      <c r="C174" s="21" t="s">
        <v>277</v>
      </c>
      <c r="D174" s="22">
        <v>50</v>
      </c>
      <c r="E174" s="22"/>
      <c r="F174" s="22"/>
      <c r="G174" s="22">
        <f t="shared" si="8"/>
        <v>50</v>
      </c>
      <c r="H174" s="24" t="e">
        <f>VLOOKUP(A174,#REF!,5,0)</f>
        <v>#REF!</v>
      </c>
      <c r="I174" s="25" t="e">
        <f>SUM(#REF!)</f>
        <v>#REF!</v>
      </c>
      <c r="J174" s="25" t="e">
        <f>SUMIF(#REF!,'MEDIÇÃO 39'!A174,#REF!)</f>
        <v>#REF!</v>
      </c>
      <c r="K174" s="25" t="e">
        <f t="shared" si="6"/>
        <v>#REF!</v>
      </c>
      <c r="L174" s="25" t="e">
        <f>G174-K174</f>
        <v>#REF!</v>
      </c>
      <c r="M174" s="24" t="e">
        <f>ROUND(I174*H174,2)</f>
        <v>#REF!</v>
      </c>
      <c r="N174" s="21" t="e">
        <f>ROUND(J174*H174,2)</f>
        <v>#REF!</v>
      </c>
      <c r="O174" s="26" t="e">
        <f t="shared" si="7"/>
        <v>#REF!</v>
      </c>
      <c r="P174" s="26" t="e">
        <f>ROUND((G174*H174)-O174,2)</f>
        <v>#REF!</v>
      </c>
      <c r="Q174" s="85">
        <f>IFERROR(ROUND(O174/(G174*H174),2),0)</f>
        <v>0</v>
      </c>
    </row>
    <row r="175" spans="1:17" ht="133.19999999999999" x14ac:dyDescent="1.05">
      <c r="A175" s="19" t="s">
        <v>444</v>
      </c>
      <c r="B175" s="20" t="s">
        <v>162</v>
      </c>
      <c r="C175" s="21" t="s">
        <v>277</v>
      </c>
      <c r="D175" s="22">
        <v>7</v>
      </c>
      <c r="E175" s="22"/>
      <c r="F175" s="22"/>
      <c r="G175" s="22">
        <f t="shared" si="8"/>
        <v>7</v>
      </c>
      <c r="H175" s="24" t="e">
        <f>VLOOKUP(A175,#REF!,5,0)</f>
        <v>#REF!</v>
      </c>
      <c r="I175" s="25" t="e">
        <f>SUM(#REF!)</f>
        <v>#REF!</v>
      </c>
      <c r="J175" s="25" t="e">
        <f>SUMIF(#REF!,'MEDIÇÃO 39'!A175,#REF!)</f>
        <v>#REF!</v>
      </c>
      <c r="K175" s="25" t="e">
        <f t="shared" si="6"/>
        <v>#REF!</v>
      </c>
      <c r="L175" s="25" t="e">
        <f>G175-K175</f>
        <v>#REF!</v>
      </c>
      <c r="M175" s="24" t="e">
        <f>ROUND(I175*H175,2)</f>
        <v>#REF!</v>
      </c>
      <c r="N175" s="21" t="e">
        <f>ROUND(J175*H175,2)</f>
        <v>#REF!</v>
      </c>
      <c r="O175" s="26" t="e">
        <f t="shared" si="7"/>
        <v>#REF!</v>
      </c>
      <c r="P175" s="26" t="e">
        <f>ROUND((G175*H175)-O175,2)</f>
        <v>#REF!</v>
      </c>
      <c r="Q175" s="85">
        <f>IFERROR(ROUND(O175/(G175*H175),2),0)</f>
        <v>0</v>
      </c>
    </row>
    <row r="176" spans="1:17" ht="199.8" x14ac:dyDescent="1.05">
      <c r="A176" s="19" t="s">
        <v>445</v>
      </c>
      <c r="B176" s="20" t="s">
        <v>163</v>
      </c>
      <c r="C176" s="21" t="s">
        <v>277</v>
      </c>
      <c r="D176" s="22">
        <v>250</v>
      </c>
      <c r="E176" s="22"/>
      <c r="F176" s="22"/>
      <c r="G176" s="22">
        <f t="shared" si="8"/>
        <v>250</v>
      </c>
      <c r="H176" s="24" t="e">
        <f>VLOOKUP(A176,#REF!,5,0)</f>
        <v>#REF!</v>
      </c>
      <c r="I176" s="25" t="e">
        <f>SUM(#REF!)</f>
        <v>#REF!</v>
      </c>
      <c r="J176" s="25" t="e">
        <f>SUMIF(#REF!,'MEDIÇÃO 39'!A176,#REF!)</f>
        <v>#REF!</v>
      </c>
      <c r="K176" s="25" t="e">
        <f t="shared" si="6"/>
        <v>#REF!</v>
      </c>
      <c r="L176" s="25" t="e">
        <f>G176-K176</f>
        <v>#REF!</v>
      </c>
      <c r="M176" s="24" t="e">
        <f>ROUND(I176*H176,2)</f>
        <v>#REF!</v>
      </c>
      <c r="N176" s="21" t="e">
        <f>ROUND(J176*H176,2)</f>
        <v>#REF!</v>
      </c>
      <c r="O176" s="26" t="e">
        <f t="shared" si="7"/>
        <v>#REF!</v>
      </c>
      <c r="P176" s="26" t="e">
        <f>ROUND((G176*H176)-O176,2)</f>
        <v>#REF!</v>
      </c>
      <c r="Q176" s="85">
        <f>IFERROR(ROUND(O176/(G176*H176),2),0)</f>
        <v>0</v>
      </c>
    </row>
    <row r="177" spans="1:17" ht="199.8" x14ac:dyDescent="1.05">
      <c r="A177" s="19" t="s">
        <v>446</v>
      </c>
      <c r="B177" s="20" t="s">
        <v>164</v>
      </c>
      <c r="C177" s="21" t="s">
        <v>277</v>
      </c>
      <c r="D177" s="22">
        <v>25</v>
      </c>
      <c r="E177" s="22"/>
      <c r="F177" s="22"/>
      <c r="G177" s="22">
        <f t="shared" si="8"/>
        <v>25</v>
      </c>
      <c r="H177" s="24" t="e">
        <f>VLOOKUP(A177,#REF!,5,0)</f>
        <v>#REF!</v>
      </c>
      <c r="I177" s="25" t="e">
        <f>SUM(#REF!)</f>
        <v>#REF!</v>
      </c>
      <c r="J177" s="25" t="e">
        <f>SUMIF(#REF!,'MEDIÇÃO 39'!A177,#REF!)</f>
        <v>#REF!</v>
      </c>
      <c r="K177" s="25" t="e">
        <f t="shared" si="6"/>
        <v>#REF!</v>
      </c>
      <c r="L177" s="25" t="e">
        <f>G177-K177</f>
        <v>#REF!</v>
      </c>
      <c r="M177" s="24" t="e">
        <f>ROUND(I177*H177,2)</f>
        <v>#REF!</v>
      </c>
      <c r="N177" s="21" t="e">
        <f>ROUND(J177*H177,2)</f>
        <v>#REF!</v>
      </c>
      <c r="O177" s="26" t="e">
        <f t="shared" si="7"/>
        <v>#REF!</v>
      </c>
      <c r="P177" s="26" t="e">
        <f>ROUND((G177*H177)-O177,2)</f>
        <v>#REF!</v>
      </c>
      <c r="Q177" s="85">
        <f>IFERROR(ROUND(O177/(G177*H177),2),0)</f>
        <v>0</v>
      </c>
    </row>
    <row r="178" spans="1:17" ht="199.8" x14ac:dyDescent="1.05">
      <c r="A178" s="19" t="s">
        <v>447</v>
      </c>
      <c r="B178" s="20" t="s">
        <v>165</v>
      </c>
      <c r="C178" s="21" t="s">
        <v>280</v>
      </c>
      <c r="D178" s="22">
        <v>5</v>
      </c>
      <c r="E178" s="22"/>
      <c r="F178" s="22"/>
      <c r="G178" s="22">
        <f t="shared" si="8"/>
        <v>5</v>
      </c>
      <c r="H178" s="24" t="e">
        <f>VLOOKUP(A178,#REF!,5,0)</f>
        <v>#REF!</v>
      </c>
      <c r="I178" s="25" t="e">
        <f>SUM(#REF!)</f>
        <v>#REF!</v>
      </c>
      <c r="J178" s="25" t="e">
        <f>SUMIF(#REF!,'MEDIÇÃO 39'!A178,#REF!)</f>
        <v>#REF!</v>
      </c>
      <c r="K178" s="25" t="e">
        <f t="shared" si="6"/>
        <v>#REF!</v>
      </c>
      <c r="L178" s="25" t="e">
        <f>G178-K178</f>
        <v>#REF!</v>
      </c>
      <c r="M178" s="24" t="e">
        <f>ROUND(I178*H178,2)</f>
        <v>#REF!</v>
      </c>
      <c r="N178" s="21" t="e">
        <f>ROUND(J178*H178,2)</f>
        <v>#REF!</v>
      </c>
      <c r="O178" s="26" t="e">
        <f t="shared" si="7"/>
        <v>#REF!</v>
      </c>
      <c r="P178" s="26" t="e">
        <f>ROUND((G178*H178)-O178,2)</f>
        <v>#REF!</v>
      </c>
      <c r="Q178" s="85">
        <f>IFERROR(ROUND(O178/(G178*H178),2),0)</f>
        <v>0</v>
      </c>
    </row>
    <row r="179" spans="1:17" ht="133.19999999999999" x14ac:dyDescent="1.05">
      <c r="A179" s="19" t="s">
        <v>448</v>
      </c>
      <c r="B179" s="20" t="s">
        <v>166</v>
      </c>
      <c r="C179" s="21" t="s">
        <v>280</v>
      </c>
      <c r="D179" s="22">
        <v>7</v>
      </c>
      <c r="E179" s="22"/>
      <c r="F179" s="22"/>
      <c r="G179" s="22">
        <f t="shared" si="8"/>
        <v>7</v>
      </c>
      <c r="H179" s="24" t="e">
        <f>VLOOKUP(A179,#REF!,5,0)</f>
        <v>#REF!</v>
      </c>
      <c r="I179" s="25" t="e">
        <f>SUM(#REF!)</f>
        <v>#REF!</v>
      </c>
      <c r="J179" s="25" t="e">
        <f>SUMIF(#REF!,'MEDIÇÃO 39'!A179,#REF!)</f>
        <v>#REF!</v>
      </c>
      <c r="K179" s="25" t="e">
        <f t="shared" si="6"/>
        <v>#REF!</v>
      </c>
      <c r="L179" s="25" t="e">
        <f>G179-K179</f>
        <v>#REF!</v>
      </c>
      <c r="M179" s="24" t="e">
        <f>ROUND(I179*H179,2)</f>
        <v>#REF!</v>
      </c>
      <c r="N179" s="21" t="e">
        <f>ROUND(J179*H179,2)</f>
        <v>#REF!</v>
      </c>
      <c r="O179" s="26" t="e">
        <f t="shared" si="7"/>
        <v>#REF!</v>
      </c>
      <c r="P179" s="26" t="e">
        <f>ROUND((G179*H179)-O179,2)</f>
        <v>#REF!</v>
      </c>
      <c r="Q179" s="85">
        <f>IFERROR(ROUND(O179/(G179*H179),2),0)</f>
        <v>0</v>
      </c>
    </row>
    <row r="180" spans="1:17" ht="133.19999999999999" x14ac:dyDescent="1.05">
      <c r="A180" s="19" t="s">
        <v>449</v>
      </c>
      <c r="B180" s="20" t="s">
        <v>167</v>
      </c>
      <c r="C180" s="21" t="s">
        <v>280</v>
      </c>
      <c r="D180" s="22">
        <v>5</v>
      </c>
      <c r="E180" s="22"/>
      <c r="F180" s="22"/>
      <c r="G180" s="22">
        <f t="shared" si="8"/>
        <v>5</v>
      </c>
      <c r="H180" s="24" t="e">
        <f>VLOOKUP(A180,#REF!,5,0)</f>
        <v>#REF!</v>
      </c>
      <c r="I180" s="25" t="e">
        <f>SUM(#REF!)</f>
        <v>#REF!</v>
      </c>
      <c r="J180" s="25" t="e">
        <f>SUMIF(#REF!,'MEDIÇÃO 39'!A180,#REF!)</f>
        <v>#REF!</v>
      </c>
      <c r="K180" s="25" t="e">
        <f t="shared" si="6"/>
        <v>#REF!</v>
      </c>
      <c r="L180" s="25" t="e">
        <f>G180-K180</f>
        <v>#REF!</v>
      </c>
      <c r="M180" s="24" t="e">
        <f>ROUND(I180*H180,2)</f>
        <v>#REF!</v>
      </c>
      <c r="N180" s="21" t="e">
        <f>ROUND(J180*H180,2)</f>
        <v>#REF!</v>
      </c>
      <c r="O180" s="26" t="e">
        <f t="shared" si="7"/>
        <v>#REF!</v>
      </c>
      <c r="P180" s="26" t="e">
        <f>ROUND((G180*H180)-O180,2)</f>
        <v>#REF!</v>
      </c>
      <c r="Q180" s="85">
        <f>IFERROR(ROUND(O180/(G180*H180),2),0)</f>
        <v>0</v>
      </c>
    </row>
    <row r="181" spans="1:17" ht="133.19999999999999" x14ac:dyDescent="1.05">
      <c r="A181" s="19" t="s">
        <v>450</v>
      </c>
      <c r="B181" s="20" t="s">
        <v>168</v>
      </c>
      <c r="C181" s="21" t="s">
        <v>277</v>
      </c>
      <c r="D181" s="22">
        <v>10</v>
      </c>
      <c r="E181" s="22"/>
      <c r="F181" s="22"/>
      <c r="G181" s="22">
        <f t="shared" si="8"/>
        <v>10</v>
      </c>
      <c r="H181" s="24" t="e">
        <f>VLOOKUP(A181,#REF!,5,0)</f>
        <v>#REF!</v>
      </c>
      <c r="I181" s="25" t="e">
        <f>SUM(#REF!)</f>
        <v>#REF!</v>
      </c>
      <c r="J181" s="25" t="e">
        <f>SUMIF(#REF!,'MEDIÇÃO 39'!A181,#REF!)</f>
        <v>#REF!</v>
      </c>
      <c r="K181" s="25" t="e">
        <f t="shared" si="6"/>
        <v>#REF!</v>
      </c>
      <c r="L181" s="25" t="e">
        <f>G181-K181</f>
        <v>#REF!</v>
      </c>
      <c r="M181" s="24" t="e">
        <f>ROUND(I181*H181,2)</f>
        <v>#REF!</v>
      </c>
      <c r="N181" s="21" t="e">
        <f>ROUND(J181*H181,2)</f>
        <v>#REF!</v>
      </c>
      <c r="O181" s="26" t="e">
        <f t="shared" si="7"/>
        <v>#REF!</v>
      </c>
      <c r="P181" s="26" t="e">
        <f>ROUND((G181*H181)-O181,2)</f>
        <v>#REF!</v>
      </c>
      <c r="Q181" s="85">
        <f>IFERROR(ROUND(O181/(G181*H181),2),0)</f>
        <v>0</v>
      </c>
    </row>
    <row r="182" spans="1:17" ht="409.6" x14ac:dyDescent="1.05">
      <c r="A182" s="19" t="s">
        <v>451</v>
      </c>
      <c r="B182" s="20" t="s">
        <v>169</v>
      </c>
      <c r="C182" s="21" t="s">
        <v>276</v>
      </c>
      <c r="D182" s="22">
        <v>10</v>
      </c>
      <c r="E182" s="22"/>
      <c r="F182" s="22"/>
      <c r="G182" s="22">
        <f t="shared" si="8"/>
        <v>10</v>
      </c>
      <c r="H182" s="24" t="e">
        <f>VLOOKUP(A182,#REF!,5,0)</f>
        <v>#REF!</v>
      </c>
      <c r="I182" s="25" t="e">
        <f>SUM(#REF!)</f>
        <v>#REF!</v>
      </c>
      <c r="J182" s="25" t="e">
        <f>SUMIF(#REF!,'MEDIÇÃO 39'!A182,#REF!)</f>
        <v>#REF!</v>
      </c>
      <c r="K182" s="25" t="e">
        <f t="shared" si="6"/>
        <v>#REF!</v>
      </c>
      <c r="L182" s="25" t="e">
        <f>G182-K182</f>
        <v>#REF!</v>
      </c>
      <c r="M182" s="24" t="e">
        <f>ROUND(I182*H182,2)</f>
        <v>#REF!</v>
      </c>
      <c r="N182" s="21" t="e">
        <f>ROUND(J182*H182,2)</f>
        <v>#REF!</v>
      </c>
      <c r="O182" s="26" t="e">
        <f t="shared" si="7"/>
        <v>#REF!</v>
      </c>
      <c r="P182" s="26" t="e">
        <f>ROUND((G182*H182)-O182,2)</f>
        <v>#REF!</v>
      </c>
      <c r="Q182" s="85">
        <f>IFERROR(ROUND(O182/(G182*H182),2),0)</f>
        <v>0</v>
      </c>
    </row>
    <row r="183" spans="1:17" ht="333" x14ac:dyDescent="1.05">
      <c r="A183" s="19" t="s">
        <v>452</v>
      </c>
      <c r="B183" s="20" t="s">
        <v>170</v>
      </c>
      <c r="C183" s="21" t="s">
        <v>276</v>
      </c>
      <c r="D183" s="22">
        <v>10</v>
      </c>
      <c r="E183" s="22"/>
      <c r="F183" s="22"/>
      <c r="G183" s="22">
        <f t="shared" si="8"/>
        <v>10</v>
      </c>
      <c r="H183" s="24" t="e">
        <f>VLOOKUP(A183,#REF!,5,0)</f>
        <v>#REF!</v>
      </c>
      <c r="I183" s="25" t="e">
        <f>SUM(#REF!)</f>
        <v>#REF!</v>
      </c>
      <c r="J183" s="25" t="e">
        <f>SUMIF(#REF!,'MEDIÇÃO 39'!A183,#REF!)</f>
        <v>#REF!</v>
      </c>
      <c r="K183" s="25" t="e">
        <f t="shared" si="6"/>
        <v>#REF!</v>
      </c>
      <c r="L183" s="25" t="e">
        <f>G183-K183</f>
        <v>#REF!</v>
      </c>
      <c r="M183" s="24" t="e">
        <f>ROUND(I183*H183,2)</f>
        <v>#REF!</v>
      </c>
      <c r="N183" s="21" t="e">
        <f>ROUND(J183*H183,2)</f>
        <v>#REF!</v>
      </c>
      <c r="O183" s="26" t="e">
        <f t="shared" si="7"/>
        <v>#REF!</v>
      </c>
      <c r="P183" s="26" t="e">
        <f>ROUND((G183*H183)-O183,2)</f>
        <v>#REF!</v>
      </c>
      <c r="Q183" s="85">
        <f>IFERROR(ROUND(O183/(G183*H183),2),0)</f>
        <v>0</v>
      </c>
    </row>
    <row r="184" spans="1:17" ht="333" x14ac:dyDescent="1.05">
      <c r="A184" s="19" t="s">
        <v>453</v>
      </c>
      <c r="B184" s="20" t="s">
        <v>171</v>
      </c>
      <c r="C184" s="21" t="s">
        <v>277</v>
      </c>
      <c r="D184" s="22">
        <v>15</v>
      </c>
      <c r="E184" s="22"/>
      <c r="F184" s="22"/>
      <c r="G184" s="22">
        <f t="shared" si="8"/>
        <v>15</v>
      </c>
      <c r="H184" s="24" t="e">
        <f>VLOOKUP(A184,#REF!,5,0)</f>
        <v>#REF!</v>
      </c>
      <c r="I184" s="25" t="e">
        <f>SUM(#REF!)</f>
        <v>#REF!</v>
      </c>
      <c r="J184" s="25" t="e">
        <f>SUMIF(#REF!,'MEDIÇÃO 39'!A184,#REF!)</f>
        <v>#REF!</v>
      </c>
      <c r="K184" s="25" t="e">
        <f t="shared" si="6"/>
        <v>#REF!</v>
      </c>
      <c r="L184" s="25" t="e">
        <f>G184-K184</f>
        <v>#REF!</v>
      </c>
      <c r="M184" s="24" t="e">
        <f>ROUND(I184*H184,2)</f>
        <v>#REF!</v>
      </c>
      <c r="N184" s="21" t="e">
        <f>ROUND(J184*H184,2)</f>
        <v>#REF!</v>
      </c>
      <c r="O184" s="26" t="e">
        <f t="shared" si="7"/>
        <v>#REF!</v>
      </c>
      <c r="P184" s="26" t="e">
        <f>ROUND((G184*H184)-O184,2)</f>
        <v>#REF!</v>
      </c>
      <c r="Q184" s="85">
        <f>IFERROR(ROUND(O184/(G184*H184),2),0)</f>
        <v>0</v>
      </c>
    </row>
    <row r="185" spans="1:17" ht="409.6" x14ac:dyDescent="1.05">
      <c r="A185" s="19" t="s">
        <v>454</v>
      </c>
      <c r="B185" s="20" t="s">
        <v>172</v>
      </c>
      <c r="C185" s="21" t="s">
        <v>277</v>
      </c>
      <c r="D185" s="22">
        <v>50</v>
      </c>
      <c r="E185" s="22"/>
      <c r="F185" s="22"/>
      <c r="G185" s="22">
        <f t="shared" si="8"/>
        <v>50</v>
      </c>
      <c r="H185" s="24" t="e">
        <f>VLOOKUP(A185,#REF!,5,0)</f>
        <v>#REF!</v>
      </c>
      <c r="I185" s="25" t="e">
        <f>SUM(#REF!)</f>
        <v>#REF!</v>
      </c>
      <c r="J185" s="25" t="e">
        <f>SUMIF(#REF!,'MEDIÇÃO 39'!A185,#REF!)</f>
        <v>#REF!</v>
      </c>
      <c r="K185" s="25" t="e">
        <f t="shared" si="6"/>
        <v>#REF!</v>
      </c>
      <c r="L185" s="25" t="e">
        <f>G185-K185</f>
        <v>#REF!</v>
      </c>
      <c r="M185" s="24" t="e">
        <f>ROUND(I185*H185,2)</f>
        <v>#REF!</v>
      </c>
      <c r="N185" s="21" t="e">
        <f>ROUND(J185*H185,2)</f>
        <v>#REF!</v>
      </c>
      <c r="O185" s="26" t="e">
        <f t="shared" si="7"/>
        <v>#REF!</v>
      </c>
      <c r="P185" s="26" t="e">
        <f>ROUND((G185*H185)-O185,2)</f>
        <v>#REF!</v>
      </c>
      <c r="Q185" s="85">
        <f>IFERROR(ROUND(O185/(G185*H185),2),0)</f>
        <v>0</v>
      </c>
    </row>
    <row r="186" spans="1:17" ht="66.599999999999994" x14ac:dyDescent="1.05">
      <c r="A186" s="19" t="s">
        <v>455</v>
      </c>
      <c r="B186" s="20" t="s">
        <v>173</v>
      </c>
      <c r="C186" s="21" t="s">
        <v>277</v>
      </c>
      <c r="D186" s="22">
        <v>2</v>
      </c>
      <c r="E186" s="22"/>
      <c r="F186" s="22"/>
      <c r="G186" s="22">
        <f t="shared" si="8"/>
        <v>2</v>
      </c>
      <c r="H186" s="24" t="e">
        <f>VLOOKUP(A186,#REF!,5,0)</f>
        <v>#REF!</v>
      </c>
      <c r="I186" s="25" t="e">
        <f>SUM(#REF!)</f>
        <v>#REF!</v>
      </c>
      <c r="J186" s="25" t="e">
        <f>SUMIF(#REF!,'MEDIÇÃO 39'!A186,#REF!)</f>
        <v>#REF!</v>
      </c>
      <c r="K186" s="25" t="e">
        <f t="shared" si="6"/>
        <v>#REF!</v>
      </c>
      <c r="L186" s="25" t="e">
        <f>G186-K186</f>
        <v>#REF!</v>
      </c>
      <c r="M186" s="24" t="e">
        <f>ROUND(I186*H186,2)</f>
        <v>#REF!</v>
      </c>
      <c r="N186" s="21" t="e">
        <f>ROUND(J186*H186,2)</f>
        <v>#REF!</v>
      </c>
      <c r="O186" s="26" t="e">
        <f t="shared" si="7"/>
        <v>#REF!</v>
      </c>
      <c r="P186" s="26" t="e">
        <f>ROUND((G186*H186)-O186,2)</f>
        <v>#REF!</v>
      </c>
      <c r="Q186" s="85">
        <f>IFERROR(ROUND(O186/(G186*H186),2),0)</f>
        <v>0</v>
      </c>
    </row>
    <row r="187" spans="1:17" ht="133.19999999999999" x14ac:dyDescent="1.05">
      <c r="A187" s="19" t="s">
        <v>456</v>
      </c>
      <c r="B187" s="20" t="s">
        <v>174</v>
      </c>
      <c r="C187" s="21" t="s">
        <v>277</v>
      </c>
      <c r="D187" s="22">
        <v>5</v>
      </c>
      <c r="E187" s="22"/>
      <c r="F187" s="22"/>
      <c r="G187" s="22">
        <f t="shared" si="8"/>
        <v>5</v>
      </c>
      <c r="H187" s="24" t="e">
        <f>VLOOKUP(A187,#REF!,5,0)</f>
        <v>#REF!</v>
      </c>
      <c r="I187" s="25" t="e">
        <f>SUM(#REF!)</f>
        <v>#REF!</v>
      </c>
      <c r="J187" s="25" t="e">
        <f>SUMIF(#REF!,'MEDIÇÃO 39'!A187,#REF!)</f>
        <v>#REF!</v>
      </c>
      <c r="K187" s="25" t="e">
        <f t="shared" si="6"/>
        <v>#REF!</v>
      </c>
      <c r="L187" s="25" t="e">
        <f>G187-K187</f>
        <v>#REF!</v>
      </c>
      <c r="M187" s="24" t="e">
        <f>ROUND(I187*H187,2)</f>
        <v>#REF!</v>
      </c>
      <c r="N187" s="21" t="e">
        <f>ROUND(J187*H187,2)</f>
        <v>#REF!</v>
      </c>
      <c r="O187" s="26" t="e">
        <f t="shared" si="7"/>
        <v>#REF!</v>
      </c>
      <c r="P187" s="26" t="e">
        <f>ROUND((G187*H187)-O187,2)</f>
        <v>#REF!</v>
      </c>
      <c r="Q187" s="85">
        <f>IFERROR(ROUND(O187/(G187*H187),2),0)</f>
        <v>0</v>
      </c>
    </row>
    <row r="188" spans="1:17" ht="133.19999999999999" x14ac:dyDescent="1.05">
      <c r="A188" s="19" t="s">
        <v>457</v>
      </c>
      <c r="B188" s="20" t="s">
        <v>175</v>
      </c>
      <c r="C188" s="21" t="s">
        <v>277</v>
      </c>
      <c r="D188" s="22">
        <v>2</v>
      </c>
      <c r="E188" s="22"/>
      <c r="F188" s="22"/>
      <c r="G188" s="22">
        <f t="shared" si="8"/>
        <v>2</v>
      </c>
      <c r="H188" s="24" t="e">
        <f>VLOOKUP(A188,#REF!,5,0)</f>
        <v>#REF!</v>
      </c>
      <c r="I188" s="25" t="e">
        <f>SUM(#REF!)</f>
        <v>#REF!</v>
      </c>
      <c r="J188" s="25" t="e">
        <f>SUMIF(#REF!,'MEDIÇÃO 39'!A188,#REF!)</f>
        <v>#REF!</v>
      </c>
      <c r="K188" s="25" t="e">
        <f t="shared" si="6"/>
        <v>#REF!</v>
      </c>
      <c r="L188" s="25" t="e">
        <f>G188-K188</f>
        <v>#REF!</v>
      </c>
      <c r="M188" s="24" t="e">
        <f>ROUND(I188*H188,2)</f>
        <v>#REF!</v>
      </c>
      <c r="N188" s="21" t="e">
        <f>ROUND(J188*H188,2)</f>
        <v>#REF!</v>
      </c>
      <c r="O188" s="26" t="e">
        <f t="shared" si="7"/>
        <v>#REF!</v>
      </c>
      <c r="P188" s="26" t="e">
        <f>ROUND((G188*H188)-O188,2)</f>
        <v>#REF!</v>
      </c>
      <c r="Q188" s="85">
        <f>IFERROR(ROUND(O188/(G188*H188),2),0)</f>
        <v>0</v>
      </c>
    </row>
    <row r="189" spans="1:17" ht="133.19999999999999" x14ac:dyDescent="1.05">
      <c r="A189" s="19" t="s">
        <v>458</v>
      </c>
      <c r="B189" s="20" t="s">
        <v>176</v>
      </c>
      <c r="C189" s="21" t="s">
        <v>277</v>
      </c>
      <c r="D189" s="22">
        <v>2</v>
      </c>
      <c r="E189" s="22"/>
      <c r="F189" s="22"/>
      <c r="G189" s="22">
        <f t="shared" si="8"/>
        <v>2</v>
      </c>
      <c r="H189" s="24" t="e">
        <f>VLOOKUP(A189,#REF!,5,0)</f>
        <v>#REF!</v>
      </c>
      <c r="I189" s="25" t="e">
        <f>SUM(#REF!)</f>
        <v>#REF!</v>
      </c>
      <c r="J189" s="25" t="e">
        <f>SUMIF(#REF!,'MEDIÇÃO 39'!A189,#REF!)</f>
        <v>#REF!</v>
      </c>
      <c r="K189" s="25" t="e">
        <f t="shared" si="6"/>
        <v>#REF!</v>
      </c>
      <c r="L189" s="25" t="e">
        <f>G189-K189</f>
        <v>#REF!</v>
      </c>
      <c r="M189" s="24" t="e">
        <f>ROUND(I189*H189,2)</f>
        <v>#REF!</v>
      </c>
      <c r="N189" s="21" t="e">
        <f>ROUND(J189*H189,2)</f>
        <v>#REF!</v>
      </c>
      <c r="O189" s="26" t="e">
        <f t="shared" si="7"/>
        <v>#REF!</v>
      </c>
      <c r="P189" s="26" t="e">
        <f>ROUND((G189*H189)-O189,2)</f>
        <v>#REF!</v>
      </c>
      <c r="Q189" s="85">
        <f>IFERROR(ROUND(O189/(G189*H189),2),0)</f>
        <v>0</v>
      </c>
    </row>
    <row r="190" spans="1:17" ht="66.599999999999994" x14ac:dyDescent="1.05">
      <c r="A190" s="19" t="s">
        <v>459</v>
      </c>
      <c r="B190" s="20" t="s">
        <v>177</v>
      </c>
      <c r="C190" s="21" t="s">
        <v>277</v>
      </c>
      <c r="D190" s="22">
        <v>5</v>
      </c>
      <c r="E190" s="22"/>
      <c r="F190" s="22">
        <v>2</v>
      </c>
      <c r="G190" s="22">
        <f t="shared" si="8"/>
        <v>7</v>
      </c>
      <c r="H190" s="24" t="e">
        <f>VLOOKUP(A190,#REF!,5,0)</f>
        <v>#REF!</v>
      </c>
      <c r="I190" s="25" t="e">
        <f>SUM(#REF!)</f>
        <v>#REF!</v>
      </c>
      <c r="J190" s="25" t="e">
        <f>SUMIF(#REF!,'MEDIÇÃO 39'!A190,#REF!)</f>
        <v>#REF!</v>
      </c>
      <c r="K190" s="25" t="e">
        <f t="shared" si="6"/>
        <v>#REF!</v>
      </c>
      <c r="L190" s="25" t="e">
        <f>G190-K190</f>
        <v>#REF!</v>
      </c>
      <c r="M190" s="24" t="e">
        <f>ROUND(I190*H190,2)</f>
        <v>#REF!</v>
      </c>
      <c r="N190" s="21" t="e">
        <f>ROUND(J190*H190,2)</f>
        <v>#REF!</v>
      </c>
      <c r="O190" s="26" t="e">
        <f t="shared" si="7"/>
        <v>#REF!</v>
      </c>
      <c r="P190" s="26" t="e">
        <f>ROUND((G190*H190)-O190,2)</f>
        <v>#REF!</v>
      </c>
      <c r="Q190" s="85">
        <f>IFERROR(ROUND(O190/(G190*H190),2),0)</f>
        <v>0</v>
      </c>
    </row>
    <row r="191" spans="1:17" ht="66.599999999999994" x14ac:dyDescent="1.05">
      <c r="A191" s="19" t="s">
        <v>460</v>
      </c>
      <c r="B191" s="20" t="s">
        <v>178</v>
      </c>
      <c r="C191" s="21" t="s">
        <v>277</v>
      </c>
      <c r="D191" s="22">
        <v>10</v>
      </c>
      <c r="E191" s="22"/>
      <c r="F191" s="22"/>
      <c r="G191" s="22">
        <f t="shared" si="8"/>
        <v>10</v>
      </c>
      <c r="H191" s="24" t="e">
        <f>VLOOKUP(A191,#REF!,5,0)</f>
        <v>#REF!</v>
      </c>
      <c r="I191" s="25" t="e">
        <f>SUM(#REF!)</f>
        <v>#REF!</v>
      </c>
      <c r="J191" s="25" t="e">
        <f>SUMIF(#REF!,'MEDIÇÃO 39'!A191,#REF!)</f>
        <v>#REF!</v>
      </c>
      <c r="K191" s="25" t="e">
        <f t="shared" si="6"/>
        <v>#REF!</v>
      </c>
      <c r="L191" s="25" t="e">
        <f>G191-K191</f>
        <v>#REF!</v>
      </c>
      <c r="M191" s="24" t="e">
        <f>ROUND(I191*H191,2)</f>
        <v>#REF!</v>
      </c>
      <c r="N191" s="21" t="e">
        <f>ROUND(J191*H191,2)</f>
        <v>#REF!</v>
      </c>
      <c r="O191" s="26" t="e">
        <f t="shared" si="7"/>
        <v>#REF!</v>
      </c>
      <c r="P191" s="26" t="e">
        <f>ROUND((G191*H191)-O191,2)</f>
        <v>#REF!</v>
      </c>
      <c r="Q191" s="85">
        <f>IFERROR(ROUND(O191/(G191*H191),2),0)</f>
        <v>0</v>
      </c>
    </row>
    <row r="192" spans="1:17" ht="66.599999999999994" x14ac:dyDescent="1.05">
      <c r="A192" s="19" t="s">
        <v>461</v>
      </c>
      <c r="B192" s="20" t="s">
        <v>179</v>
      </c>
      <c r="C192" s="21" t="s">
        <v>277</v>
      </c>
      <c r="D192" s="22">
        <v>5</v>
      </c>
      <c r="E192" s="22"/>
      <c r="F192" s="22"/>
      <c r="G192" s="22">
        <f t="shared" si="8"/>
        <v>5</v>
      </c>
      <c r="H192" s="24" t="e">
        <f>VLOOKUP(A192,#REF!,5,0)</f>
        <v>#REF!</v>
      </c>
      <c r="I192" s="25" t="e">
        <f>SUM(#REF!)</f>
        <v>#REF!</v>
      </c>
      <c r="J192" s="25" t="e">
        <f>SUMIF(#REF!,'MEDIÇÃO 39'!A192,#REF!)</f>
        <v>#REF!</v>
      </c>
      <c r="K192" s="25" t="e">
        <f t="shared" si="6"/>
        <v>#REF!</v>
      </c>
      <c r="L192" s="25" t="e">
        <f>G192-K192</f>
        <v>#REF!</v>
      </c>
      <c r="M192" s="24" t="e">
        <f>ROUND(I192*H192,2)</f>
        <v>#REF!</v>
      </c>
      <c r="N192" s="21" t="e">
        <f>ROUND(J192*H192,2)</f>
        <v>#REF!</v>
      </c>
      <c r="O192" s="26" t="e">
        <f t="shared" si="7"/>
        <v>#REF!</v>
      </c>
      <c r="P192" s="26" t="e">
        <f>ROUND((G192*H192)-O192,2)</f>
        <v>#REF!</v>
      </c>
      <c r="Q192" s="85">
        <f>IFERROR(ROUND(O192/(G192*H192),2),0)</f>
        <v>0</v>
      </c>
    </row>
    <row r="193" spans="1:17" ht="66.599999999999994" x14ac:dyDescent="1.05">
      <c r="A193" s="19" t="s">
        <v>462</v>
      </c>
      <c r="B193" s="20" t="s">
        <v>180</v>
      </c>
      <c r="C193" s="21" t="s">
        <v>277</v>
      </c>
      <c r="D193" s="22">
        <v>5</v>
      </c>
      <c r="E193" s="22"/>
      <c r="F193" s="22"/>
      <c r="G193" s="22">
        <f t="shared" si="8"/>
        <v>5</v>
      </c>
      <c r="H193" s="24" t="e">
        <f>VLOOKUP(A193,#REF!,5,0)</f>
        <v>#REF!</v>
      </c>
      <c r="I193" s="25" t="e">
        <f>SUM(#REF!)</f>
        <v>#REF!</v>
      </c>
      <c r="J193" s="25" t="e">
        <f>SUMIF(#REF!,'MEDIÇÃO 39'!A193,#REF!)</f>
        <v>#REF!</v>
      </c>
      <c r="K193" s="25" t="e">
        <f t="shared" si="6"/>
        <v>#REF!</v>
      </c>
      <c r="L193" s="25" t="e">
        <f>G193-K193</f>
        <v>#REF!</v>
      </c>
      <c r="M193" s="24" t="e">
        <f>ROUND(I193*H193,2)</f>
        <v>#REF!</v>
      </c>
      <c r="N193" s="21" t="e">
        <f>ROUND(J193*H193,2)</f>
        <v>#REF!</v>
      </c>
      <c r="O193" s="26" t="e">
        <f t="shared" si="7"/>
        <v>#REF!</v>
      </c>
      <c r="P193" s="26" t="e">
        <f>ROUND((G193*H193)-O193,2)</f>
        <v>#REF!</v>
      </c>
      <c r="Q193" s="85">
        <f>IFERROR(ROUND(O193/(G193*H193),2),0)</f>
        <v>0</v>
      </c>
    </row>
    <row r="194" spans="1:17" ht="266.39999999999998" x14ac:dyDescent="1.05">
      <c r="A194" s="19" t="s">
        <v>463</v>
      </c>
      <c r="B194" s="20" t="s">
        <v>181</v>
      </c>
      <c r="C194" s="21" t="s">
        <v>277</v>
      </c>
      <c r="D194" s="22">
        <v>2</v>
      </c>
      <c r="E194" s="22"/>
      <c r="F194" s="22">
        <v>2</v>
      </c>
      <c r="G194" s="22">
        <f t="shared" si="8"/>
        <v>4</v>
      </c>
      <c r="H194" s="24" t="e">
        <f>VLOOKUP(A194,#REF!,5,0)</f>
        <v>#REF!</v>
      </c>
      <c r="I194" s="25" t="e">
        <f>SUM(#REF!)</f>
        <v>#REF!</v>
      </c>
      <c r="J194" s="25" t="e">
        <f>SUMIF(#REF!,'MEDIÇÃO 39'!A194,#REF!)</f>
        <v>#REF!</v>
      </c>
      <c r="K194" s="25" t="e">
        <f t="shared" si="6"/>
        <v>#REF!</v>
      </c>
      <c r="L194" s="25" t="e">
        <f>G194-K194</f>
        <v>#REF!</v>
      </c>
      <c r="M194" s="24" t="e">
        <f>ROUND(I194*H194,2)</f>
        <v>#REF!</v>
      </c>
      <c r="N194" s="21" t="e">
        <f>ROUND(J194*H194,2)</f>
        <v>#REF!</v>
      </c>
      <c r="O194" s="26" t="e">
        <f t="shared" si="7"/>
        <v>#REF!</v>
      </c>
      <c r="P194" s="26" t="e">
        <f>ROUND((G194*H194)-O194,2)</f>
        <v>#REF!</v>
      </c>
      <c r="Q194" s="85">
        <f>IFERROR(ROUND(O194/(G194*H194),2),0)</f>
        <v>0</v>
      </c>
    </row>
    <row r="195" spans="1:17" ht="266.39999999999998" x14ac:dyDescent="1.05">
      <c r="A195" s="19" t="s">
        <v>464</v>
      </c>
      <c r="B195" s="20" t="s">
        <v>182</v>
      </c>
      <c r="C195" s="21" t="s">
        <v>277</v>
      </c>
      <c r="D195" s="22">
        <v>2</v>
      </c>
      <c r="E195" s="22"/>
      <c r="F195" s="22"/>
      <c r="G195" s="22">
        <f t="shared" si="8"/>
        <v>2</v>
      </c>
      <c r="H195" s="24" t="e">
        <f>VLOOKUP(A195,#REF!,5,0)</f>
        <v>#REF!</v>
      </c>
      <c r="I195" s="25" t="e">
        <f>SUM(#REF!)</f>
        <v>#REF!</v>
      </c>
      <c r="J195" s="25" t="e">
        <f>SUMIF(#REF!,'MEDIÇÃO 39'!A195,#REF!)</f>
        <v>#REF!</v>
      </c>
      <c r="K195" s="25" t="e">
        <f t="shared" si="6"/>
        <v>#REF!</v>
      </c>
      <c r="L195" s="25" t="e">
        <f>G195-K195</f>
        <v>#REF!</v>
      </c>
      <c r="M195" s="24" t="e">
        <f>ROUND(I195*H195,2)</f>
        <v>#REF!</v>
      </c>
      <c r="N195" s="21" t="e">
        <f>ROUND(J195*H195,2)</f>
        <v>#REF!</v>
      </c>
      <c r="O195" s="26" t="e">
        <f t="shared" si="7"/>
        <v>#REF!</v>
      </c>
      <c r="P195" s="26" t="e">
        <f>ROUND((G195*H195)-O195,2)</f>
        <v>#REF!</v>
      </c>
      <c r="Q195" s="85">
        <f>IFERROR(ROUND(O195/(G195*H195),2),0)</f>
        <v>0</v>
      </c>
    </row>
    <row r="196" spans="1:17" ht="266.39999999999998" x14ac:dyDescent="1.05">
      <c r="A196" s="19" t="s">
        <v>465</v>
      </c>
      <c r="B196" s="20" t="s">
        <v>183</v>
      </c>
      <c r="C196" s="21" t="s">
        <v>277</v>
      </c>
      <c r="D196" s="22">
        <v>2</v>
      </c>
      <c r="E196" s="22"/>
      <c r="F196" s="22"/>
      <c r="G196" s="22">
        <f t="shared" si="8"/>
        <v>2</v>
      </c>
      <c r="H196" s="24" t="e">
        <f>VLOOKUP(A196,#REF!,5,0)</f>
        <v>#REF!</v>
      </c>
      <c r="I196" s="25" t="e">
        <f>SUM(#REF!)</f>
        <v>#REF!</v>
      </c>
      <c r="J196" s="25" t="e">
        <f>SUMIF(#REF!,'MEDIÇÃO 39'!A196,#REF!)</f>
        <v>#REF!</v>
      </c>
      <c r="K196" s="25" t="e">
        <f t="shared" si="6"/>
        <v>#REF!</v>
      </c>
      <c r="L196" s="25" t="e">
        <f>G196-K196</f>
        <v>#REF!</v>
      </c>
      <c r="M196" s="24" t="e">
        <f>ROUND(I196*H196,2)</f>
        <v>#REF!</v>
      </c>
      <c r="N196" s="21" t="e">
        <f>ROUND(J196*H196,2)</f>
        <v>#REF!</v>
      </c>
      <c r="O196" s="26" t="e">
        <f t="shared" si="7"/>
        <v>#REF!</v>
      </c>
      <c r="P196" s="26" t="e">
        <f>ROUND((G196*H196)-O196,2)</f>
        <v>#REF!</v>
      </c>
      <c r="Q196" s="85">
        <f>IFERROR(ROUND(O196/(G196*H196),2),0)</f>
        <v>0</v>
      </c>
    </row>
    <row r="197" spans="1:17" ht="133.19999999999999" x14ac:dyDescent="1.05">
      <c r="A197" s="19" t="s">
        <v>466</v>
      </c>
      <c r="B197" s="20" t="s">
        <v>184</v>
      </c>
      <c r="C197" s="21" t="s">
        <v>277</v>
      </c>
      <c r="D197" s="22">
        <v>10</v>
      </c>
      <c r="E197" s="22"/>
      <c r="F197" s="22">
        <v>5</v>
      </c>
      <c r="G197" s="22">
        <f t="shared" si="8"/>
        <v>15</v>
      </c>
      <c r="H197" s="24" t="e">
        <f>VLOOKUP(A197,#REF!,5,0)</f>
        <v>#REF!</v>
      </c>
      <c r="I197" s="25" t="e">
        <f>SUM(#REF!)</f>
        <v>#REF!</v>
      </c>
      <c r="J197" s="25" t="e">
        <f>SUMIF(#REF!,'MEDIÇÃO 39'!A197,#REF!)</f>
        <v>#REF!</v>
      </c>
      <c r="K197" s="25" t="e">
        <f t="shared" si="6"/>
        <v>#REF!</v>
      </c>
      <c r="L197" s="25" t="e">
        <f>G197-K197</f>
        <v>#REF!</v>
      </c>
      <c r="M197" s="24" t="e">
        <f>ROUND(I197*H197,2)</f>
        <v>#REF!</v>
      </c>
      <c r="N197" s="21" t="e">
        <f>ROUND(J197*H197,2)</f>
        <v>#REF!</v>
      </c>
      <c r="O197" s="26" t="e">
        <f t="shared" si="7"/>
        <v>#REF!</v>
      </c>
      <c r="P197" s="26" t="e">
        <f>ROUND((G197*H197)-O197,2)</f>
        <v>#REF!</v>
      </c>
      <c r="Q197" s="85">
        <f>IFERROR(ROUND(O197/(G197*H197),2),0)</f>
        <v>0</v>
      </c>
    </row>
    <row r="198" spans="1:17" ht="133.19999999999999" x14ac:dyDescent="1.05">
      <c r="A198" s="19" t="s">
        <v>467</v>
      </c>
      <c r="B198" s="20" t="s">
        <v>185</v>
      </c>
      <c r="C198" s="21" t="s">
        <v>277</v>
      </c>
      <c r="D198" s="22">
        <v>10</v>
      </c>
      <c r="E198" s="22"/>
      <c r="F198" s="22">
        <v>5</v>
      </c>
      <c r="G198" s="22">
        <f t="shared" si="8"/>
        <v>15</v>
      </c>
      <c r="H198" s="24" t="e">
        <f>VLOOKUP(A198,#REF!,5,0)</f>
        <v>#REF!</v>
      </c>
      <c r="I198" s="25" t="e">
        <f>SUM(#REF!)</f>
        <v>#REF!</v>
      </c>
      <c r="J198" s="25" t="e">
        <f>SUMIF(#REF!,'MEDIÇÃO 39'!A198,#REF!)</f>
        <v>#REF!</v>
      </c>
      <c r="K198" s="25" t="e">
        <f t="shared" si="6"/>
        <v>#REF!</v>
      </c>
      <c r="L198" s="25" t="e">
        <f>G198-K198</f>
        <v>#REF!</v>
      </c>
      <c r="M198" s="24" t="e">
        <f>ROUND(I198*H198,2)</f>
        <v>#REF!</v>
      </c>
      <c r="N198" s="21" t="e">
        <f>ROUND(J198*H198,2)</f>
        <v>#REF!</v>
      </c>
      <c r="O198" s="26" t="e">
        <f t="shared" si="7"/>
        <v>#REF!</v>
      </c>
      <c r="P198" s="26" t="e">
        <f>ROUND((G198*H198)-O198,2)</f>
        <v>#REF!</v>
      </c>
      <c r="Q198" s="85">
        <f>IFERROR(ROUND(O198/(G198*H198),2),0)</f>
        <v>0</v>
      </c>
    </row>
    <row r="199" spans="1:17" ht="266.39999999999998" x14ac:dyDescent="1.05">
      <c r="A199" s="19" t="s">
        <v>468</v>
      </c>
      <c r="B199" s="20" t="s">
        <v>186</v>
      </c>
      <c r="C199" s="21" t="s">
        <v>277</v>
      </c>
      <c r="D199" s="22">
        <v>10</v>
      </c>
      <c r="E199" s="22"/>
      <c r="F199" s="22"/>
      <c r="G199" s="22">
        <f t="shared" si="8"/>
        <v>10</v>
      </c>
      <c r="H199" s="24" t="e">
        <f>VLOOKUP(A199,#REF!,5,0)</f>
        <v>#REF!</v>
      </c>
      <c r="I199" s="25" t="e">
        <f>SUM(#REF!)</f>
        <v>#REF!</v>
      </c>
      <c r="J199" s="25" t="e">
        <f>SUMIF(#REF!,'MEDIÇÃO 39'!A199,#REF!)</f>
        <v>#REF!</v>
      </c>
      <c r="K199" s="25" t="e">
        <f t="shared" si="6"/>
        <v>#REF!</v>
      </c>
      <c r="L199" s="25" t="e">
        <f>G199-K199</f>
        <v>#REF!</v>
      </c>
      <c r="M199" s="24" t="e">
        <f>ROUND(I199*H199,2)</f>
        <v>#REF!</v>
      </c>
      <c r="N199" s="21" t="e">
        <f>ROUND(J199*H199,2)</f>
        <v>#REF!</v>
      </c>
      <c r="O199" s="26" t="e">
        <f t="shared" si="7"/>
        <v>#REF!</v>
      </c>
      <c r="P199" s="26" t="e">
        <f>ROUND((G199*H199)-O199,2)</f>
        <v>#REF!</v>
      </c>
      <c r="Q199" s="85">
        <f>IFERROR(ROUND(O199/(G199*H199),2),0)</f>
        <v>0</v>
      </c>
    </row>
    <row r="200" spans="1:17" ht="266.39999999999998" x14ac:dyDescent="1.05">
      <c r="A200" s="19" t="s">
        <v>469</v>
      </c>
      <c r="B200" s="20" t="s">
        <v>187</v>
      </c>
      <c r="C200" s="21" t="s">
        <v>277</v>
      </c>
      <c r="D200" s="22">
        <v>2</v>
      </c>
      <c r="E200" s="22"/>
      <c r="F200" s="22">
        <v>1</v>
      </c>
      <c r="G200" s="22">
        <f t="shared" si="8"/>
        <v>3</v>
      </c>
      <c r="H200" s="24" t="e">
        <f>VLOOKUP(A200,#REF!,5,0)</f>
        <v>#REF!</v>
      </c>
      <c r="I200" s="25" t="e">
        <f>SUM(#REF!)</f>
        <v>#REF!</v>
      </c>
      <c r="J200" s="25" t="e">
        <f>SUMIF(#REF!,'MEDIÇÃO 39'!A200,#REF!)</f>
        <v>#REF!</v>
      </c>
      <c r="K200" s="25" t="e">
        <f t="shared" si="6"/>
        <v>#REF!</v>
      </c>
      <c r="L200" s="25" t="e">
        <f>G200-K200</f>
        <v>#REF!</v>
      </c>
      <c r="M200" s="24" t="e">
        <f>ROUND(I200*H200,2)</f>
        <v>#REF!</v>
      </c>
      <c r="N200" s="21" t="e">
        <f>ROUND(J200*H200,2)</f>
        <v>#REF!</v>
      </c>
      <c r="O200" s="26" t="e">
        <f t="shared" si="7"/>
        <v>#REF!</v>
      </c>
      <c r="P200" s="26" t="e">
        <f>ROUND((G200*H200)-O200,2)</f>
        <v>#REF!</v>
      </c>
      <c r="Q200" s="85">
        <f>IFERROR(ROUND(O200/(G200*H200),2),0)</f>
        <v>0</v>
      </c>
    </row>
    <row r="201" spans="1:17" ht="66.599999999999994" x14ac:dyDescent="1.05">
      <c r="A201" s="19" t="s">
        <v>470</v>
      </c>
      <c r="B201" s="20" t="s">
        <v>188</v>
      </c>
      <c r="C201" s="21" t="s">
        <v>276</v>
      </c>
      <c r="D201" s="22">
        <v>25</v>
      </c>
      <c r="E201" s="22"/>
      <c r="F201" s="22"/>
      <c r="G201" s="22">
        <f t="shared" si="8"/>
        <v>25</v>
      </c>
      <c r="H201" s="24" t="e">
        <f>VLOOKUP(A201,#REF!,5,0)</f>
        <v>#REF!</v>
      </c>
      <c r="I201" s="25" t="e">
        <f>SUM(#REF!)</f>
        <v>#REF!</v>
      </c>
      <c r="J201" s="25" t="e">
        <f>SUMIF(#REF!,'MEDIÇÃO 39'!A201,#REF!)</f>
        <v>#REF!</v>
      </c>
      <c r="K201" s="25" t="e">
        <f t="shared" si="6"/>
        <v>#REF!</v>
      </c>
      <c r="L201" s="25" t="e">
        <f>G201-K201</f>
        <v>#REF!</v>
      </c>
      <c r="M201" s="24" t="e">
        <f>ROUND(I201*H201,2)</f>
        <v>#REF!</v>
      </c>
      <c r="N201" s="21" t="e">
        <f>ROUND(J201*H201,2)</f>
        <v>#REF!</v>
      </c>
      <c r="O201" s="26" t="e">
        <f t="shared" si="7"/>
        <v>#REF!</v>
      </c>
      <c r="P201" s="26" t="e">
        <f>ROUND((G201*H201)-O201,2)</f>
        <v>#REF!</v>
      </c>
      <c r="Q201" s="85">
        <f>IFERROR(ROUND(O201/(G201*H201),2),0)</f>
        <v>0</v>
      </c>
    </row>
    <row r="202" spans="1:17" ht="133.19999999999999" x14ac:dyDescent="1.05">
      <c r="A202" s="19" t="s">
        <v>471</v>
      </c>
      <c r="B202" s="20" t="s">
        <v>189</v>
      </c>
      <c r="C202" s="21" t="s">
        <v>276</v>
      </c>
      <c r="D202" s="22">
        <v>250</v>
      </c>
      <c r="E202" s="22"/>
      <c r="F202" s="22"/>
      <c r="G202" s="22">
        <f t="shared" si="8"/>
        <v>250</v>
      </c>
      <c r="H202" s="24" t="e">
        <f>VLOOKUP(A202,#REF!,5,0)</f>
        <v>#REF!</v>
      </c>
      <c r="I202" s="25" t="e">
        <f>SUM(#REF!)</f>
        <v>#REF!</v>
      </c>
      <c r="J202" s="25" t="e">
        <f>SUMIF(#REF!,'MEDIÇÃO 39'!A202,#REF!)</f>
        <v>#REF!</v>
      </c>
      <c r="K202" s="25" t="e">
        <f t="shared" si="6"/>
        <v>#REF!</v>
      </c>
      <c r="L202" s="25" t="e">
        <f>G202-K202</f>
        <v>#REF!</v>
      </c>
      <c r="M202" s="24" t="e">
        <f>ROUND(I202*H202,2)</f>
        <v>#REF!</v>
      </c>
      <c r="N202" s="21" t="e">
        <f>ROUND(J202*H202,2)</f>
        <v>#REF!</v>
      </c>
      <c r="O202" s="26" t="e">
        <f t="shared" si="7"/>
        <v>#REF!</v>
      </c>
      <c r="P202" s="26" t="e">
        <f>ROUND((G202*H202)-O202,2)</f>
        <v>#REF!</v>
      </c>
      <c r="Q202" s="85">
        <f>IFERROR(ROUND(O202/(G202*H202),2),0)</f>
        <v>0</v>
      </c>
    </row>
    <row r="203" spans="1:17" ht="133.19999999999999" x14ac:dyDescent="1.05">
      <c r="A203" s="32">
        <v>3100</v>
      </c>
      <c r="B203" s="20" t="s">
        <v>190</v>
      </c>
      <c r="C203" s="21" t="s">
        <v>276</v>
      </c>
      <c r="D203" s="22">
        <v>1000</v>
      </c>
      <c r="E203" s="22"/>
      <c r="F203" s="22"/>
      <c r="G203" s="22">
        <f t="shared" si="8"/>
        <v>1000</v>
      </c>
      <c r="H203" s="24" t="e">
        <f>VLOOKUP(A203,#REF!,5,0)</f>
        <v>#REF!</v>
      </c>
      <c r="I203" s="25" t="e">
        <f>SUM(#REF!)</f>
        <v>#REF!</v>
      </c>
      <c r="J203" s="25" t="e">
        <f>SUMIF(#REF!,'MEDIÇÃO 39'!A203,#REF!)</f>
        <v>#REF!</v>
      </c>
      <c r="K203" s="25" t="e">
        <f t="shared" si="6"/>
        <v>#REF!</v>
      </c>
      <c r="L203" s="25" t="e">
        <f>G203-K203</f>
        <v>#REF!</v>
      </c>
      <c r="M203" s="24" t="e">
        <f>ROUND(I203*H203,2)</f>
        <v>#REF!</v>
      </c>
      <c r="N203" s="21" t="e">
        <f>ROUND(J203*H203,2)</f>
        <v>#REF!</v>
      </c>
      <c r="O203" s="26" t="e">
        <f t="shared" si="7"/>
        <v>#REF!</v>
      </c>
      <c r="P203" s="26" t="e">
        <f>ROUND((G203*H203)-O203,2)</f>
        <v>#REF!</v>
      </c>
      <c r="Q203" s="85">
        <f>IFERROR(ROUND(O203/(G203*H203),2),0)</f>
        <v>0</v>
      </c>
    </row>
    <row r="204" spans="1:17" ht="133.19999999999999" x14ac:dyDescent="1.05">
      <c r="A204" s="32">
        <v>3101</v>
      </c>
      <c r="B204" s="20" t="s">
        <v>191</v>
      </c>
      <c r="C204" s="21" t="s">
        <v>276</v>
      </c>
      <c r="D204" s="22">
        <v>25</v>
      </c>
      <c r="E204" s="22"/>
      <c r="F204" s="22"/>
      <c r="G204" s="22">
        <f t="shared" si="8"/>
        <v>25</v>
      </c>
      <c r="H204" s="24" t="e">
        <f>VLOOKUP(A204,#REF!,5,0)</f>
        <v>#REF!</v>
      </c>
      <c r="I204" s="25" t="e">
        <f>SUM(#REF!)</f>
        <v>#REF!</v>
      </c>
      <c r="J204" s="25" t="e">
        <f>SUMIF(#REF!,'MEDIÇÃO 39'!A204,#REF!)</f>
        <v>#REF!</v>
      </c>
      <c r="K204" s="25" t="e">
        <f t="shared" si="6"/>
        <v>#REF!</v>
      </c>
      <c r="L204" s="25" t="e">
        <f>G204-K204</f>
        <v>#REF!</v>
      </c>
      <c r="M204" s="24" t="e">
        <f>ROUND(I204*H204,2)</f>
        <v>#REF!</v>
      </c>
      <c r="N204" s="21" t="e">
        <f>ROUND(J204*H204,2)</f>
        <v>#REF!</v>
      </c>
      <c r="O204" s="26" t="e">
        <f t="shared" si="7"/>
        <v>#REF!</v>
      </c>
      <c r="P204" s="26" t="e">
        <f>ROUND((G204*H204)-O204,2)</f>
        <v>#REF!</v>
      </c>
      <c r="Q204" s="85">
        <f>IFERROR(ROUND(O204/(G204*H204),2),0)</f>
        <v>0</v>
      </c>
    </row>
    <row r="205" spans="1:17" ht="133.19999999999999" x14ac:dyDescent="1.05">
      <c r="A205" s="32">
        <v>3102</v>
      </c>
      <c r="B205" s="20" t="s">
        <v>192</v>
      </c>
      <c r="C205" s="21" t="s">
        <v>276</v>
      </c>
      <c r="D205" s="22">
        <v>25</v>
      </c>
      <c r="E205" s="22"/>
      <c r="F205" s="22"/>
      <c r="G205" s="22">
        <f t="shared" si="8"/>
        <v>25</v>
      </c>
      <c r="H205" s="24" t="e">
        <f>VLOOKUP(A205,#REF!,5,0)</f>
        <v>#REF!</v>
      </c>
      <c r="I205" s="25" t="e">
        <f>SUM(#REF!)</f>
        <v>#REF!</v>
      </c>
      <c r="J205" s="25" t="e">
        <f>SUMIF(#REF!,'MEDIÇÃO 39'!A205,#REF!)</f>
        <v>#REF!</v>
      </c>
      <c r="K205" s="25" t="e">
        <f t="shared" si="6"/>
        <v>#REF!</v>
      </c>
      <c r="L205" s="25" t="e">
        <f>G205-K205</f>
        <v>#REF!</v>
      </c>
      <c r="M205" s="24" t="e">
        <f>ROUND(I205*H205,2)</f>
        <v>#REF!</v>
      </c>
      <c r="N205" s="21" t="e">
        <f>ROUND(J205*H205,2)</f>
        <v>#REF!</v>
      </c>
      <c r="O205" s="26" t="e">
        <f t="shared" si="7"/>
        <v>#REF!</v>
      </c>
      <c r="P205" s="26" t="e">
        <f>ROUND((G205*H205)-O205,2)</f>
        <v>#REF!</v>
      </c>
      <c r="Q205" s="85">
        <f>IFERROR(ROUND(O205/(G205*H205),2),0)</f>
        <v>0</v>
      </c>
    </row>
    <row r="206" spans="1:17" ht="66.599999999999994" x14ac:dyDescent="1.05">
      <c r="A206" s="32">
        <v>3103</v>
      </c>
      <c r="B206" s="20" t="s">
        <v>193</v>
      </c>
      <c r="C206" s="21" t="s">
        <v>276</v>
      </c>
      <c r="D206" s="22">
        <v>250</v>
      </c>
      <c r="E206" s="22"/>
      <c r="F206" s="22"/>
      <c r="G206" s="22">
        <f t="shared" si="8"/>
        <v>250</v>
      </c>
      <c r="H206" s="24" t="e">
        <f>VLOOKUP(A206,#REF!,5,0)</f>
        <v>#REF!</v>
      </c>
      <c r="I206" s="25" t="e">
        <f>SUM(#REF!)</f>
        <v>#REF!</v>
      </c>
      <c r="J206" s="25" t="e">
        <f>SUMIF(#REF!,'MEDIÇÃO 39'!A206,#REF!)</f>
        <v>#REF!</v>
      </c>
      <c r="K206" s="25" t="e">
        <f t="shared" si="6"/>
        <v>#REF!</v>
      </c>
      <c r="L206" s="25" t="e">
        <f>G206-K206</f>
        <v>#REF!</v>
      </c>
      <c r="M206" s="24" t="e">
        <f>ROUND(I206*H206,2)</f>
        <v>#REF!</v>
      </c>
      <c r="N206" s="21" t="e">
        <f>ROUND(J206*H206,2)</f>
        <v>#REF!</v>
      </c>
      <c r="O206" s="26" t="e">
        <f t="shared" si="7"/>
        <v>#REF!</v>
      </c>
      <c r="P206" s="26" t="e">
        <f>ROUND((G206*H206)-O206,2)</f>
        <v>#REF!</v>
      </c>
      <c r="Q206" s="85">
        <f>IFERROR(ROUND(O206/(G206*H206),2),0)</f>
        <v>0</v>
      </c>
    </row>
    <row r="207" spans="1:17" ht="66.599999999999994" x14ac:dyDescent="1.05">
      <c r="A207" s="32">
        <v>3104</v>
      </c>
      <c r="B207" s="20" t="s">
        <v>194</v>
      </c>
      <c r="C207" s="21" t="s">
        <v>276</v>
      </c>
      <c r="D207" s="22">
        <v>25</v>
      </c>
      <c r="E207" s="22"/>
      <c r="F207" s="22"/>
      <c r="G207" s="22">
        <f t="shared" si="8"/>
        <v>25</v>
      </c>
      <c r="H207" s="24" t="e">
        <f>VLOOKUP(A207,#REF!,5,0)</f>
        <v>#REF!</v>
      </c>
      <c r="I207" s="25" t="e">
        <f>SUM(#REF!)</f>
        <v>#REF!</v>
      </c>
      <c r="J207" s="25" t="e">
        <f>SUMIF(#REF!,'MEDIÇÃO 39'!A207,#REF!)</f>
        <v>#REF!</v>
      </c>
      <c r="K207" s="25" t="e">
        <f t="shared" si="6"/>
        <v>#REF!</v>
      </c>
      <c r="L207" s="25" t="e">
        <f>G207-K207</f>
        <v>#REF!</v>
      </c>
      <c r="M207" s="24" t="e">
        <f>ROUND(I207*H207,2)</f>
        <v>#REF!</v>
      </c>
      <c r="N207" s="21" t="e">
        <f>ROUND(J207*H207,2)</f>
        <v>#REF!</v>
      </c>
      <c r="O207" s="26" t="e">
        <f t="shared" si="7"/>
        <v>#REF!</v>
      </c>
      <c r="P207" s="26" t="e">
        <f>ROUND((G207*H207)-O207,2)</f>
        <v>#REF!</v>
      </c>
      <c r="Q207" s="85">
        <f>IFERROR(ROUND(O207/(G207*H207),2),0)</f>
        <v>0</v>
      </c>
    </row>
    <row r="208" spans="1:17" ht="66.599999999999994" x14ac:dyDescent="1.05">
      <c r="A208" s="32">
        <v>3105</v>
      </c>
      <c r="B208" s="20" t="s">
        <v>195</v>
      </c>
      <c r="C208" s="21" t="s">
        <v>276</v>
      </c>
      <c r="D208" s="22">
        <v>50</v>
      </c>
      <c r="E208" s="22"/>
      <c r="F208" s="22"/>
      <c r="G208" s="22">
        <f t="shared" si="8"/>
        <v>50</v>
      </c>
      <c r="H208" s="24" t="e">
        <f>VLOOKUP(A208,#REF!,5,0)</f>
        <v>#REF!</v>
      </c>
      <c r="I208" s="25" t="e">
        <f>SUM(#REF!)</f>
        <v>#REF!</v>
      </c>
      <c r="J208" s="25" t="e">
        <f>SUMIF(#REF!,'MEDIÇÃO 39'!A208,#REF!)</f>
        <v>#REF!</v>
      </c>
      <c r="K208" s="25" t="e">
        <f t="shared" ref="K208:K271" si="9">I208+J208</f>
        <v>#REF!</v>
      </c>
      <c r="L208" s="25" t="e">
        <f>G208-K208</f>
        <v>#REF!</v>
      </c>
      <c r="M208" s="24" t="e">
        <f>ROUND(I208*H208,2)</f>
        <v>#REF!</v>
      </c>
      <c r="N208" s="21" t="e">
        <f>ROUND(J208*H208,2)</f>
        <v>#REF!</v>
      </c>
      <c r="O208" s="26" t="e">
        <f t="shared" ref="O208:O271" si="10">ROUND(M208+N208,2)</f>
        <v>#REF!</v>
      </c>
      <c r="P208" s="26" t="e">
        <f>ROUND((G208*H208)-O208,2)</f>
        <v>#REF!</v>
      </c>
      <c r="Q208" s="85">
        <f>IFERROR(ROUND(O208/(G208*H208),2),0)</f>
        <v>0</v>
      </c>
    </row>
    <row r="209" spans="1:17" ht="66.599999999999994" x14ac:dyDescent="1.05">
      <c r="A209" s="32">
        <v>3106</v>
      </c>
      <c r="B209" s="20" t="s">
        <v>196</v>
      </c>
      <c r="C209" s="21" t="s">
        <v>276</v>
      </c>
      <c r="D209" s="22">
        <v>250</v>
      </c>
      <c r="E209" s="22"/>
      <c r="F209" s="22"/>
      <c r="G209" s="22">
        <f t="shared" ref="G209:G272" si="11">SUM(D209:F209)</f>
        <v>250</v>
      </c>
      <c r="H209" s="24" t="e">
        <f>VLOOKUP(A209,#REF!,5,0)</f>
        <v>#REF!</v>
      </c>
      <c r="I209" s="25" t="e">
        <f>SUM(#REF!)</f>
        <v>#REF!</v>
      </c>
      <c r="J209" s="25" t="e">
        <f>SUMIF(#REF!,'MEDIÇÃO 39'!A209,#REF!)</f>
        <v>#REF!</v>
      </c>
      <c r="K209" s="25" t="e">
        <f t="shared" si="9"/>
        <v>#REF!</v>
      </c>
      <c r="L209" s="25" t="e">
        <f>G209-K209</f>
        <v>#REF!</v>
      </c>
      <c r="M209" s="24" t="e">
        <f>ROUND(I209*H209,2)</f>
        <v>#REF!</v>
      </c>
      <c r="N209" s="21" t="e">
        <f>ROUND(J209*H209,2)</f>
        <v>#REF!</v>
      </c>
      <c r="O209" s="26" t="e">
        <f t="shared" si="10"/>
        <v>#REF!</v>
      </c>
      <c r="P209" s="26" t="e">
        <f>ROUND((G209*H209)-O209,2)</f>
        <v>#REF!</v>
      </c>
      <c r="Q209" s="85">
        <f>IFERROR(ROUND(O209/(G209*H209),2),0)</f>
        <v>0</v>
      </c>
    </row>
    <row r="210" spans="1:17" ht="133.19999999999999" x14ac:dyDescent="1.05">
      <c r="A210" s="32">
        <v>3107</v>
      </c>
      <c r="B210" s="20" t="s">
        <v>197</v>
      </c>
      <c r="C210" s="21" t="s">
        <v>277</v>
      </c>
      <c r="D210" s="22">
        <v>50</v>
      </c>
      <c r="E210" s="22"/>
      <c r="F210" s="22"/>
      <c r="G210" s="22">
        <f t="shared" si="11"/>
        <v>50</v>
      </c>
      <c r="H210" s="24" t="e">
        <f>VLOOKUP(A210,#REF!,5,0)</f>
        <v>#REF!</v>
      </c>
      <c r="I210" s="25" t="e">
        <f>SUM(#REF!)</f>
        <v>#REF!</v>
      </c>
      <c r="J210" s="25" t="e">
        <f>SUMIF(#REF!,'MEDIÇÃO 39'!A210,#REF!)</f>
        <v>#REF!</v>
      </c>
      <c r="K210" s="25" t="e">
        <f t="shared" si="9"/>
        <v>#REF!</v>
      </c>
      <c r="L210" s="25" t="e">
        <f>G210-K210</f>
        <v>#REF!</v>
      </c>
      <c r="M210" s="24" t="e">
        <f>ROUND(I210*H210,2)</f>
        <v>#REF!</v>
      </c>
      <c r="N210" s="21" t="e">
        <f>ROUND(J210*H210,2)</f>
        <v>#REF!</v>
      </c>
      <c r="O210" s="26" t="e">
        <f t="shared" si="10"/>
        <v>#REF!</v>
      </c>
      <c r="P210" s="26" t="e">
        <f>ROUND((G210*H210)-O210,2)</f>
        <v>#REF!</v>
      </c>
      <c r="Q210" s="85">
        <f>IFERROR(ROUND(O210/(G210*H210),2),0)</f>
        <v>0</v>
      </c>
    </row>
    <row r="211" spans="1:17" ht="406.2" customHeight="1" x14ac:dyDescent="1.05">
      <c r="A211" s="32">
        <v>3108</v>
      </c>
      <c r="B211" s="20" t="s">
        <v>198</v>
      </c>
      <c r="C211" s="21" t="s">
        <v>276</v>
      </c>
      <c r="D211" s="22">
        <v>25</v>
      </c>
      <c r="E211" s="22"/>
      <c r="F211" s="22"/>
      <c r="G211" s="22">
        <f t="shared" si="11"/>
        <v>25</v>
      </c>
      <c r="H211" s="24" t="e">
        <f>VLOOKUP(A211,#REF!,5,0)</f>
        <v>#REF!</v>
      </c>
      <c r="I211" s="25" t="e">
        <f>SUM(#REF!)</f>
        <v>#REF!</v>
      </c>
      <c r="J211" s="25" t="e">
        <f>SUMIF(#REF!,'MEDIÇÃO 39'!A211,#REF!)</f>
        <v>#REF!</v>
      </c>
      <c r="K211" s="25" t="e">
        <f t="shared" si="9"/>
        <v>#REF!</v>
      </c>
      <c r="L211" s="25" t="e">
        <f>G211-K211</f>
        <v>#REF!</v>
      </c>
      <c r="M211" s="24" t="e">
        <f>ROUND(I211*H211,2)</f>
        <v>#REF!</v>
      </c>
      <c r="N211" s="21" t="e">
        <f>ROUND(J211*H211,2)</f>
        <v>#REF!</v>
      </c>
      <c r="O211" s="26" t="e">
        <f t="shared" si="10"/>
        <v>#REF!</v>
      </c>
      <c r="P211" s="26" t="e">
        <f>ROUND((G211*H211)-O211,2)</f>
        <v>#REF!</v>
      </c>
      <c r="Q211" s="85">
        <f>IFERROR(ROUND(O211/(G211*H211),2),0)</f>
        <v>0</v>
      </c>
    </row>
    <row r="212" spans="1:17" ht="409.6" x14ac:dyDescent="1.05">
      <c r="A212" s="32">
        <v>3109</v>
      </c>
      <c r="B212" s="20" t="s">
        <v>199</v>
      </c>
      <c r="C212" s="21" t="s">
        <v>276</v>
      </c>
      <c r="D212" s="22">
        <v>25</v>
      </c>
      <c r="E212" s="22"/>
      <c r="F212" s="22"/>
      <c r="G212" s="22">
        <f t="shared" si="11"/>
        <v>25</v>
      </c>
      <c r="H212" s="24" t="e">
        <f>VLOOKUP(A212,#REF!,5,0)</f>
        <v>#REF!</v>
      </c>
      <c r="I212" s="25" t="e">
        <f>SUM(#REF!)</f>
        <v>#REF!</v>
      </c>
      <c r="J212" s="25" t="e">
        <f>SUMIF(#REF!,'MEDIÇÃO 39'!A212,#REF!)</f>
        <v>#REF!</v>
      </c>
      <c r="K212" s="25" t="e">
        <f t="shared" si="9"/>
        <v>#REF!</v>
      </c>
      <c r="L212" s="25" t="e">
        <f>G212-K212</f>
        <v>#REF!</v>
      </c>
      <c r="M212" s="24" t="e">
        <f>ROUND(I212*H212,2)</f>
        <v>#REF!</v>
      </c>
      <c r="N212" s="21" t="e">
        <f>ROUND(J212*H212,2)</f>
        <v>#REF!</v>
      </c>
      <c r="O212" s="26" t="e">
        <f t="shared" si="10"/>
        <v>#REF!</v>
      </c>
      <c r="P212" s="26" t="e">
        <f>ROUND((G212*H212)-O212,2)</f>
        <v>#REF!</v>
      </c>
      <c r="Q212" s="85">
        <f>IFERROR(ROUND(O212/(G212*H212),2),0)</f>
        <v>0</v>
      </c>
    </row>
    <row r="213" spans="1:17" ht="66.599999999999994" x14ac:dyDescent="1.05">
      <c r="A213" s="32">
        <v>3110</v>
      </c>
      <c r="B213" s="20" t="s">
        <v>200</v>
      </c>
      <c r="C213" s="21" t="s">
        <v>281</v>
      </c>
      <c r="D213" s="22">
        <v>10</v>
      </c>
      <c r="E213" s="22"/>
      <c r="F213" s="22"/>
      <c r="G213" s="22">
        <f t="shared" si="11"/>
        <v>10</v>
      </c>
      <c r="H213" s="24" t="e">
        <f>VLOOKUP(A213,#REF!,5,0)</f>
        <v>#REF!</v>
      </c>
      <c r="I213" s="25" t="e">
        <f>SUM(#REF!)</f>
        <v>#REF!</v>
      </c>
      <c r="J213" s="25" t="e">
        <f>SUMIF(#REF!,'MEDIÇÃO 39'!A213,#REF!)</f>
        <v>#REF!</v>
      </c>
      <c r="K213" s="25" t="e">
        <f t="shared" si="9"/>
        <v>#REF!</v>
      </c>
      <c r="L213" s="25" t="e">
        <f>G213-K213</f>
        <v>#REF!</v>
      </c>
      <c r="M213" s="24" t="e">
        <f>ROUND(I213*H213,2)</f>
        <v>#REF!</v>
      </c>
      <c r="N213" s="21" t="e">
        <f>ROUND(J213*H213,2)</f>
        <v>#REF!</v>
      </c>
      <c r="O213" s="26" t="e">
        <f t="shared" si="10"/>
        <v>#REF!</v>
      </c>
      <c r="P213" s="26" t="e">
        <f>ROUND((G213*H213)-O213,2)</f>
        <v>#REF!</v>
      </c>
      <c r="Q213" s="85">
        <f>IFERROR(ROUND(O213/(G213*H213),2),0)</f>
        <v>0</v>
      </c>
    </row>
    <row r="214" spans="1:17" ht="66.599999999999994" x14ac:dyDescent="1.05">
      <c r="A214" s="32">
        <v>3111</v>
      </c>
      <c r="B214" s="20" t="s">
        <v>201</v>
      </c>
      <c r="C214" s="21" t="s">
        <v>277</v>
      </c>
      <c r="D214" s="22">
        <v>2</v>
      </c>
      <c r="E214" s="22"/>
      <c r="F214" s="22"/>
      <c r="G214" s="22">
        <f t="shared" si="11"/>
        <v>2</v>
      </c>
      <c r="H214" s="24" t="e">
        <f>VLOOKUP(A214,#REF!,5,0)</f>
        <v>#REF!</v>
      </c>
      <c r="I214" s="25" t="e">
        <f>SUM(#REF!)</f>
        <v>#REF!</v>
      </c>
      <c r="J214" s="25" t="e">
        <f>SUMIF(#REF!,'MEDIÇÃO 39'!A214,#REF!)</f>
        <v>#REF!</v>
      </c>
      <c r="K214" s="25" t="e">
        <f t="shared" si="9"/>
        <v>#REF!</v>
      </c>
      <c r="L214" s="25" t="e">
        <f>G214-K214</f>
        <v>#REF!</v>
      </c>
      <c r="M214" s="24" t="e">
        <f>ROUND(I214*H214,2)</f>
        <v>#REF!</v>
      </c>
      <c r="N214" s="21" t="e">
        <f>ROUND(J214*H214,2)</f>
        <v>#REF!</v>
      </c>
      <c r="O214" s="26" t="e">
        <f t="shared" si="10"/>
        <v>#REF!</v>
      </c>
      <c r="P214" s="26" t="e">
        <f>ROUND((G214*H214)-O214,2)</f>
        <v>#REF!</v>
      </c>
      <c r="Q214" s="85">
        <f>IFERROR(ROUND(O214/(G214*H214),2),0)</f>
        <v>0</v>
      </c>
    </row>
    <row r="215" spans="1:17" ht="66.599999999999994" x14ac:dyDescent="1.05">
      <c r="A215" s="32">
        <v>3112</v>
      </c>
      <c r="B215" s="20" t="s">
        <v>202</v>
      </c>
      <c r="C215" s="21" t="s">
        <v>281</v>
      </c>
      <c r="D215" s="22">
        <v>200</v>
      </c>
      <c r="E215" s="22"/>
      <c r="F215" s="22"/>
      <c r="G215" s="22">
        <f t="shared" si="11"/>
        <v>200</v>
      </c>
      <c r="H215" s="24" t="e">
        <f>VLOOKUP(A215,#REF!,5,0)</f>
        <v>#REF!</v>
      </c>
      <c r="I215" s="25" t="e">
        <f>SUM(#REF!)</f>
        <v>#REF!</v>
      </c>
      <c r="J215" s="25" t="e">
        <f>SUMIF(#REF!,'MEDIÇÃO 39'!A215,#REF!)</f>
        <v>#REF!</v>
      </c>
      <c r="K215" s="25" t="e">
        <f t="shared" si="9"/>
        <v>#REF!</v>
      </c>
      <c r="L215" s="25" t="e">
        <f>G215-K215</f>
        <v>#REF!</v>
      </c>
      <c r="M215" s="24" t="e">
        <f>ROUND(I215*H215,2)</f>
        <v>#REF!</v>
      </c>
      <c r="N215" s="21" t="e">
        <f>ROUND(J215*H215,2)</f>
        <v>#REF!</v>
      </c>
      <c r="O215" s="26" t="e">
        <f t="shared" si="10"/>
        <v>#REF!</v>
      </c>
      <c r="P215" s="26" t="e">
        <f>ROUND((G215*H215)-O215,2)</f>
        <v>#REF!</v>
      </c>
      <c r="Q215" s="85">
        <f>IFERROR(ROUND(O215/(G215*H215),2),0)</f>
        <v>0</v>
      </c>
    </row>
    <row r="216" spans="1:17" ht="66.599999999999994" x14ac:dyDescent="1.05">
      <c r="A216" s="32">
        <v>3113</v>
      </c>
      <c r="B216" s="20" t="s">
        <v>203</v>
      </c>
      <c r="C216" s="21" t="s">
        <v>277</v>
      </c>
      <c r="D216" s="22">
        <v>5</v>
      </c>
      <c r="E216" s="22"/>
      <c r="F216" s="22"/>
      <c r="G216" s="22">
        <f t="shared" si="11"/>
        <v>5</v>
      </c>
      <c r="H216" s="24" t="e">
        <f>VLOOKUP(A216,#REF!,5,0)</f>
        <v>#REF!</v>
      </c>
      <c r="I216" s="25" t="e">
        <f>SUM(#REF!)</f>
        <v>#REF!</v>
      </c>
      <c r="J216" s="25" t="e">
        <f>SUMIF(#REF!,'MEDIÇÃO 39'!A216,#REF!)</f>
        <v>#REF!</v>
      </c>
      <c r="K216" s="25" t="e">
        <f t="shared" si="9"/>
        <v>#REF!</v>
      </c>
      <c r="L216" s="25" t="e">
        <f>G216-K216</f>
        <v>#REF!</v>
      </c>
      <c r="M216" s="24" t="e">
        <f>ROUND(I216*H216,2)</f>
        <v>#REF!</v>
      </c>
      <c r="N216" s="21" t="e">
        <f>ROUND(J216*H216,2)</f>
        <v>#REF!</v>
      </c>
      <c r="O216" s="26" t="e">
        <f t="shared" si="10"/>
        <v>#REF!</v>
      </c>
      <c r="P216" s="26" t="e">
        <f>ROUND((G216*H216)-O216,2)</f>
        <v>#REF!</v>
      </c>
      <c r="Q216" s="85">
        <f>IFERROR(ROUND(O216/(G216*H216),2),0)</f>
        <v>0</v>
      </c>
    </row>
    <row r="217" spans="1:17" ht="66.599999999999994" x14ac:dyDescent="1.05">
      <c r="A217" s="32">
        <v>3114</v>
      </c>
      <c r="B217" s="20" t="s">
        <v>204</v>
      </c>
      <c r="C217" s="21" t="s">
        <v>277</v>
      </c>
      <c r="D217" s="22">
        <v>10</v>
      </c>
      <c r="E217" s="22"/>
      <c r="F217" s="22"/>
      <c r="G217" s="22">
        <f t="shared" si="11"/>
        <v>10</v>
      </c>
      <c r="H217" s="24" t="e">
        <f>VLOOKUP(A217,#REF!,5,0)</f>
        <v>#REF!</v>
      </c>
      <c r="I217" s="25" t="e">
        <f>SUM(#REF!)</f>
        <v>#REF!</v>
      </c>
      <c r="J217" s="25" t="e">
        <f>SUMIF(#REF!,'MEDIÇÃO 39'!A217,#REF!)</f>
        <v>#REF!</v>
      </c>
      <c r="K217" s="25" t="e">
        <f t="shared" si="9"/>
        <v>#REF!</v>
      </c>
      <c r="L217" s="25" t="e">
        <f>G217-K217</f>
        <v>#REF!</v>
      </c>
      <c r="M217" s="24" t="e">
        <f>ROUND(I217*H217,2)</f>
        <v>#REF!</v>
      </c>
      <c r="N217" s="21" t="e">
        <f>ROUND(J217*H217,2)</f>
        <v>#REF!</v>
      </c>
      <c r="O217" s="26" t="e">
        <f t="shared" si="10"/>
        <v>#REF!</v>
      </c>
      <c r="P217" s="26" t="e">
        <f>ROUND((G217*H217)-O217,2)</f>
        <v>#REF!</v>
      </c>
      <c r="Q217" s="85">
        <f>IFERROR(ROUND(O217/(G217*H217),2),0)</f>
        <v>0</v>
      </c>
    </row>
    <row r="218" spans="1:17" ht="66.599999999999994" x14ac:dyDescent="1.05">
      <c r="A218" s="32">
        <v>3115</v>
      </c>
      <c r="B218" s="20" t="s">
        <v>205</v>
      </c>
      <c r="C218" s="21" t="s">
        <v>277</v>
      </c>
      <c r="D218" s="22">
        <v>5</v>
      </c>
      <c r="E218" s="22"/>
      <c r="F218" s="22"/>
      <c r="G218" s="22">
        <f t="shared" si="11"/>
        <v>5</v>
      </c>
      <c r="H218" s="24" t="e">
        <f>VLOOKUP(A218,#REF!,5,0)</f>
        <v>#REF!</v>
      </c>
      <c r="I218" s="25" t="e">
        <f>SUM(#REF!)</f>
        <v>#REF!</v>
      </c>
      <c r="J218" s="25" t="e">
        <f>SUMIF(#REF!,'MEDIÇÃO 39'!A218,#REF!)</f>
        <v>#REF!</v>
      </c>
      <c r="K218" s="25" t="e">
        <f t="shared" si="9"/>
        <v>#REF!</v>
      </c>
      <c r="L218" s="25" t="e">
        <f>G218-K218</f>
        <v>#REF!</v>
      </c>
      <c r="M218" s="24" t="e">
        <f>ROUND(I218*H218,2)</f>
        <v>#REF!</v>
      </c>
      <c r="N218" s="21" t="e">
        <f>ROUND(J218*H218,2)</f>
        <v>#REF!</v>
      </c>
      <c r="O218" s="26" t="e">
        <f t="shared" si="10"/>
        <v>#REF!</v>
      </c>
      <c r="P218" s="26" t="e">
        <f>ROUND((G218*H218)-O218,2)</f>
        <v>#REF!</v>
      </c>
      <c r="Q218" s="85">
        <f>IFERROR(ROUND(O218/(G218*H218),2),0)</f>
        <v>0</v>
      </c>
    </row>
    <row r="219" spans="1:17" ht="66.599999999999994" x14ac:dyDescent="1.05">
      <c r="A219" s="32">
        <v>3116</v>
      </c>
      <c r="B219" s="20" t="s">
        <v>206</v>
      </c>
      <c r="C219" s="21" t="s">
        <v>277</v>
      </c>
      <c r="D219" s="22">
        <v>100</v>
      </c>
      <c r="E219" s="22"/>
      <c r="F219" s="22"/>
      <c r="G219" s="22">
        <f t="shared" si="11"/>
        <v>100</v>
      </c>
      <c r="H219" s="24" t="e">
        <f>VLOOKUP(A219,#REF!,5,0)</f>
        <v>#REF!</v>
      </c>
      <c r="I219" s="25" t="e">
        <f>SUM(#REF!)</f>
        <v>#REF!</v>
      </c>
      <c r="J219" s="25" t="e">
        <f>SUMIF(#REF!,'MEDIÇÃO 39'!A219,#REF!)</f>
        <v>#REF!</v>
      </c>
      <c r="K219" s="25" t="e">
        <f t="shared" si="9"/>
        <v>#REF!</v>
      </c>
      <c r="L219" s="25" t="e">
        <f>G219-K219</f>
        <v>#REF!</v>
      </c>
      <c r="M219" s="24" t="e">
        <f>ROUND(I219*H219,2)</f>
        <v>#REF!</v>
      </c>
      <c r="N219" s="21" t="e">
        <f>ROUND(J219*H219,2)</f>
        <v>#REF!</v>
      </c>
      <c r="O219" s="26" t="e">
        <f t="shared" si="10"/>
        <v>#REF!</v>
      </c>
      <c r="P219" s="26" t="e">
        <f>ROUND((G219*H219)-O219,2)</f>
        <v>#REF!</v>
      </c>
      <c r="Q219" s="85">
        <f>IFERROR(ROUND(O219/(G219*H219),2),0)</f>
        <v>0</v>
      </c>
    </row>
    <row r="220" spans="1:17" ht="133.19999999999999" x14ac:dyDescent="1.05">
      <c r="A220" s="32">
        <v>3117</v>
      </c>
      <c r="B220" s="20" t="s">
        <v>207</v>
      </c>
      <c r="C220" s="21" t="s">
        <v>277</v>
      </c>
      <c r="D220" s="22">
        <v>5</v>
      </c>
      <c r="E220" s="22"/>
      <c r="F220" s="22"/>
      <c r="G220" s="22">
        <f t="shared" si="11"/>
        <v>5</v>
      </c>
      <c r="H220" s="24" t="e">
        <f>VLOOKUP(A220,#REF!,5,0)</f>
        <v>#REF!</v>
      </c>
      <c r="I220" s="25" t="e">
        <f>SUM(#REF!)</f>
        <v>#REF!</v>
      </c>
      <c r="J220" s="25" t="e">
        <f>SUMIF(#REF!,'MEDIÇÃO 39'!A220,#REF!)</f>
        <v>#REF!</v>
      </c>
      <c r="K220" s="25" t="e">
        <f t="shared" si="9"/>
        <v>#REF!</v>
      </c>
      <c r="L220" s="25" t="e">
        <f>G220-K220</f>
        <v>#REF!</v>
      </c>
      <c r="M220" s="24" t="e">
        <f>ROUND(I220*H220,2)</f>
        <v>#REF!</v>
      </c>
      <c r="N220" s="21" t="e">
        <f>ROUND(J220*H220,2)</f>
        <v>#REF!</v>
      </c>
      <c r="O220" s="26" t="e">
        <f t="shared" si="10"/>
        <v>#REF!</v>
      </c>
      <c r="P220" s="26" t="e">
        <f>ROUND((G220*H220)-O220,2)</f>
        <v>#REF!</v>
      </c>
      <c r="Q220" s="85">
        <f>IFERROR(ROUND(O220/(G220*H220),2),0)</f>
        <v>0</v>
      </c>
    </row>
    <row r="221" spans="1:17" ht="266.39999999999998" x14ac:dyDescent="1.05">
      <c r="A221" s="32">
        <v>3118</v>
      </c>
      <c r="B221" s="82" t="s">
        <v>485</v>
      </c>
      <c r="C221" s="21" t="s">
        <v>277</v>
      </c>
      <c r="D221" s="22">
        <v>5</v>
      </c>
      <c r="E221" s="22"/>
      <c r="F221" s="22"/>
      <c r="G221" s="22">
        <f t="shared" si="11"/>
        <v>5</v>
      </c>
      <c r="H221" s="24" t="e">
        <f>VLOOKUP(A221,#REF!,5,0)</f>
        <v>#REF!</v>
      </c>
      <c r="I221" s="25" t="e">
        <f>SUM(#REF!)</f>
        <v>#REF!</v>
      </c>
      <c r="J221" s="25" t="e">
        <f>SUMIF(#REF!,'MEDIÇÃO 39'!A221,#REF!)</f>
        <v>#REF!</v>
      </c>
      <c r="K221" s="25" t="e">
        <f t="shared" si="9"/>
        <v>#REF!</v>
      </c>
      <c r="L221" s="25" t="e">
        <f>G221-K221</f>
        <v>#REF!</v>
      </c>
      <c r="M221" s="24" t="e">
        <f>ROUND(I221*H221,2)</f>
        <v>#REF!</v>
      </c>
      <c r="N221" s="21" t="e">
        <f>ROUND(J221*H221,2)</f>
        <v>#REF!</v>
      </c>
      <c r="O221" s="26" t="e">
        <f t="shared" si="10"/>
        <v>#REF!</v>
      </c>
      <c r="P221" s="26" t="e">
        <f>ROUND((G221*H221)-O221,2)</f>
        <v>#REF!</v>
      </c>
      <c r="Q221" s="85">
        <f>IFERROR(ROUND(O221/(G221*H221),2),0)</f>
        <v>0</v>
      </c>
    </row>
    <row r="222" spans="1:17" ht="266.39999999999998" x14ac:dyDescent="1.05">
      <c r="A222" s="32">
        <v>3119</v>
      </c>
      <c r="B222" s="20" t="s">
        <v>208</v>
      </c>
      <c r="C222" s="21" t="s">
        <v>277</v>
      </c>
      <c r="D222" s="22">
        <v>5</v>
      </c>
      <c r="E222" s="22"/>
      <c r="F222" s="22"/>
      <c r="G222" s="22">
        <f t="shared" si="11"/>
        <v>5</v>
      </c>
      <c r="H222" s="24" t="e">
        <f>VLOOKUP(A222,#REF!,5,0)</f>
        <v>#REF!</v>
      </c>
      <c r="I222" s="25" t="e">
        <f>SUM(#REF!)</f>
        <v>#REF!</v>
      </c>
      <c r="J222" s="25" t="e">
        <f>SUMIF(#REF!,'MEDIÇÃO 39'!A222,#REF!)</f>
        <v>#REF!</v>
      </c>
      <c r="K222" s="25" t="e">
        <f t="shared" si="9"/>
        <v>#REF!</v>
      </c>
      <c r="L222" s="25" t="e">
        <f>G222-K222</f>
        <v>#REF!</v>
      </c>
      <c r="M222" s="24" t="e">
        <f>ROUND(I222*H222,2)</f>
        <v>#REF!</v>
      </c>
      <c r="N222" s="21" t="e">
        <f>ROUND(J222*H222,2)</f>
        <v>#REF!</v>
      </c>
      <c r="O222" s="26" t="e">
        <f t="shared" si="10"/>
        <v>#REF!</v>
      </c>
      <c r="P222" s="26" t="e">
        <f>ROUND((G222*H222)-O222,2)</f>
        <v>#REF!</v>
      </c>
      <c r="Q222" s="85">
        <f>IFERROR(ROUND(O222/(G222*H222),2),0)</f>
        <v>0</v>
      </c>
    </row>
    <row r="223" spans="1:17" ht="333" x14ac:dyDescent="1.05">
      <c r="A223" s="32">
        <v>3120</v>
      </c>
      <c r="B223" s="20" t="s">
        <v>209</v>
      </c>
      <c r="C223" s="21" t="s">
        <v>277</v>
      </c>
      <c r="D223" s="22">
        <v>20</v>
      </c>
      <c r="E223" s="22"/>
      <c r="F223" s="22"/>
      <c r="G223" s="22">
        <f t="shared" si="11"/>
        <v>20</v>
      </c>
      <c r="H223" s="24" t="e">
        <f>VLOOKUP(A223,#REF!,5,0)</f>
        <v>#REF!</v>
      </c>
      <c r="I223" s="25" t="e">
        <f>SUM(#REF!)</f>
        <v>#REF!</v>
      </c>
      <c r="J223" s="25" t="e">
        <f>SUMIF(#REF!,'MEDIÇÃO 39'!A223,#REF!)</f>
        <v>#REF!</v>
      </c>
      <c r="K223" s="25" t="e">
        <f t="shared" si="9"/>
        <v>#REF!</v>
      </c>
      <c r="L223" s="25" t="e">
        <f>G223-K223</f>
        <v>#REF!</v>
      </c>
      <c r="M223" s="24" t="e">
        <f>ROUND(I223*H223,2)</f>
        <v>#REF!</v>
      </c>
      <c r="N223" s="21" t="e">
        <f>ROUND(J223*H223,2)</f>
        <v>#REF!</v>
      </c>
      <c r="O223" s="26" t="e">
        <f t="shared" si="10"/>
        <v>#REF!</v>
      </c>
      <c r="P223" s="26" t="e">
        <f>ROUND((G223*H223)-O223,2)</f>
        <v>#REF!</v>
      </c>
      <c r="Q223" s="85">
        <f>IFERROR(ROUND(O223/(G223*H223),2),0)</f>
        <v>0</v>
      </c>
    </row>
    <row r="224" spans="1:17" ht="333" x14ac:dyDescent="1.05">
      <c r="A224" s="32">
        <v>3121</v>
      </c>
      <c r="B224" s="20" t="s">
        <v>210</v>
      </c>
      <c r="C224" s="21" t="s">
        <v>277</v>
      </c>
      <c r="D224" s="22">
        <v>1</v>
      </c>
      <c r="E224" s="22"/>
      <c r="F224" s="22"/>
      <c r="G224" s="22">
        <f t="shared" si="11"/>
        <v>1</v>
      </c>
      <c r="H224" s="24" t="e">
        <f>VLOOKUP(A224,#REF!,5,0)</f>
        <v>#REF!</v>
      </c>
      <c r="I224" s="25" t="e">
        <f>SUM(#REF!)</f>
        <v>#REF!</v>
      </c>
      <c r="J224" s="25" t="e">
        <f>SUMIF(#REF!,'MEDIÇÃO 39'!A224,#REF!)</f>
        <v>#REF!</v>
      </c>
      <c r="K224" s="25" t="e">
        <f t="shared" si="9"/>
        <v>#REF!</v>
      </c>
      <c r="L224" s="25" t="e">
        <f>G224-K224</f>
        <v>#REF!</v>
      </c>
      <c r="M224" s="24" t="e">
        <f>ROUND(I224*H224,2)</f>
        <v>#REF!</v>
      </c>
      <c r="N224" s="21" t="e">
        <f>ROUND(J224*H224,2)</f>
        <v>#REF!</v>
      </c>
      <c r="O224" s="26" t="e">
        <f t="shared" si="10"/>
        <v>#REF!</v>
      </c>
      <c r="P224" s="26" t="e">
        <f>ROUND((G224*H224)-O224,2)</f>
        <v>#REF!</v>
      </c>
      <c r="Q224" s="85">
        <f>IFERROR(ROUND(O224/(G224*H224),2),0)</f>
        <v>0</v>
      </c>
    </row>
    <row r="225" spans="1:17" ht="333" x14ac:dyDescent="1.05">
      <c r="A225" s="32">
        <v>3122</v>
      </c>
      <c r="B225" s="20" t="s">
        <v>211</v>
      </c>
      <c r="C225" s="21" t="s">
        <v>277</v>
      </c>
      <c r="D225" s="22">
        <v>9</v>
      </c>
      <c r="E225" s="22"/>
      <c r="F225" s="22"/>
      <c r="G225" s="22">
        <f t="shared" si="11"/>
        <v>9</v>
      </c>
      <c r="H225" s="24" t="e">
        <f>VLOOKUP(A225,#REF!,5,0)</f>
        <v>#REF!</v>
      </c>
      <c r="I225" s="25" t="e">
        <f>SUM(#REF!)</f>
        <v>#REF!</v>
      </c>
      <c r="J225" s="25" t="e">
        <f>SUMIF(#REF!,'MEDIÇÃO 39'!A225,#REF!)</f>
        <v>#REF!</v>
      </c>
      <c r="K225" s="25" t="e">
        <f t="shared" si="9"/>
        <v>#REF!</v>
      </c>
      <c r="L225" s="25" t="e">
        <f>G225-K225</f>
        <v>#REF!</v>
      </c>
      <c r="M225" s="24" t="e">
        <f>ROUND(I225*H225,2)</f>
        <v>#REF!</v>
      </c>
      <c r="N225" s="21" t="e">
        <f>ROUND(J225*H225,2)</f>
        <v>#REF!</v>
      </c>
      <c r="O225" s="26" t="e">
        <f t="shared" si="10"/>
        <v>#REF!</v>
      </c>
      <c r="P225" s="26" t="e">
        <f>ROUND((G225*H225)-O225,2)</f>
        <v>#REF!</v>
      </c>
      <c r="Q225" s="85">
        <f>IFERROR(ROUND(O225/(G225*H225),2),0)</f>
        <v>0</v>
      </c>
    </row>
    <row r="226" spans="1:17" ht="333" x14ac:dyDescent="1.05">
      <c r="A226" s="32">
        <v>3123</v>
      </c>
      <c r="B226" s="20" t="s">
        <v>212</v>
      </c>
      <c r="C226" s="21" t="s">
        <v>277</v>
      </c>
      <c r="D226" s="22">
        <v>7</v>
      </c>
      <c r="E226" s="22"/>
      <c r="F226" s="22"/>
      <c r="G226" s="22">
        <f t="shared" si="11"/>
        <v>7</v>
      </c>
      <c r="H226" s="24" t="e">
        <f>VLOOKUP(A226,#REF!,5,0)</f>
        <v>#REF!</v>
      </c>
      <c r="I226" s="25" t="e">
        <f>SUM(#REF!)</f>
        <v>#REF!</v>
      </c>
      <c r="J226" s="25" t="e">
        <f>SUMIF(#REF!,'MEDIÇÃO 39'!A226,#REF!)</f>
        <v>#REF!</v>
      </c>
      <c r="K226" s="25" t="e">
        <f t="shared" si="9"/>
        <v>#REF!</v>
      </c>
      <c r="L226" s="25" t="e">
        <f>G226-K226</f>
        <v>#REF!</v>
      </c>
      <c r="M226" s="24" t="e">
        <f>ROUND(I226*H226,2)</f>
        <v>#REF!</v>
      </c>
      <c r="N226" s="21" t="e">
        <f>ROUND(J226*H226,2)</f>
        <v>#REF!</v>
      </c>
      <c r="O226" s="26" t="e">
        <f t="shared" si="10"/>
        <v>#REF!</v>
      </c>
      <c r="P226" s="26" t="e">
        <f>ROUND((G226*H226)-O226,2)</f>
        <v>#REF!</v>
      </c>
      <c r="Q226" s="85">
        <f>IFERROR(ROUND(O226/(G226*H226),2),0)</f>
        <v>0</v>
      </c>
    </row>
    <row r="227" spans="1:17" ht="266.39999999999998" x14ac:dyDescent="1.05">
      <c r="A227" s="32">
        <v>3124</v>
      </c>
      <c r="B227" s="20" t="s">
        <v>213</v>
      </c>
      <c r="C227" s="21" t="s">
        <v>277</v>
      </c>
      <c r="D227" s="22">
        <v>135</v>
      </c>
      <c r="E227" s="22"/>
      <c r="F227" s="22"/>
      <c r="G227" s="22">
        <f t="shared" si="11"/>
        <v>135</v>
      </c>
      <c r="H227" s="24" t="e">
        <f>VLOOKUP(A227,#REF!,5,0)</f>
        <v>#REF!</v>
      </c>
      <c r="I227" s="25" t="e">
        <f>SUM(#REF!)</f>
        <v>#REF!</v>
      </c>
      <c r="J227" s="25" t="e">
        <f>SUMIF(#REF!,'MEDIÇÃO 39'!A227,#REF!)</f>
        <v>#REF!</v>
      </c>
      <c r="K227" s="25" t="e">
        <f t="shared" si="9"/>
        <v>#REF!</v>
      </c>
      <c r="L227" s="25" t="e">
        <f>G227-K227</f>
        <v>#REF!</v>
      </c>
      <c r="M227" s="24" t="e">
        <f>ROUND(I227*H227,2)</f>
        <v>#REF!</v>
      </c>
      <c r="N227" s="21" t="e">
        <f>ROUND(J227*H227,2)</f>
        <v>#REF!</v>
      </c>
      <c r="O227" s="26" t="e">
        <f t="shared" si="10"/>
        <v>#REF!</v>
      </c>
      <c r="P227" s="26" t="e">
        <f>ROUND((G227*H227)-O227,2)</f>
        <v>#REF!</v>
      </c>
      <c r="Q227" s="85">
        <f>IFERROR(ROUND(O227/(G227*H227),2),0)</f>
        <v>0</v>
      </c>
    </row>
    <row r="228" spans="1:17" ht="266.39999999999998" x14ac:dyDescent="1.05">
      <c r="A228" s="32">
        <v>3125</v>
      </c>
      <c r="B228" s="20" t="s">
        <v>214</v>
      </c>
      <c r="C228" s="21" t="s">
        <v>277</v>
      </c>
      <c r="D228" s="22">
        <v>75</v>
      </c>
      <c r="E228" s="22"/>
      <c r="F228" s="22"/>
      <c r="G228" s="22">
        <f t="shared" si="11"/>
        <v>75</v>
      </c>
      <c r="H228" s="24" t="e">
        <f>VLOOKUP(A228,#REF!,5,0)</f>
        <v>#REF!</v>
      </c>
      <c r="I228" s="25" t="e">
        <f>SUM(#REF!)</f>
        <v>#REF!</v>
      </c>
      <c r="J228" s="25" t="e">
        <f>SUMIF(#REF!,'MEDIÇÃO 39'!A228,#REF!)</f>
        <v>#REF!</v>
      </c>
      <c r="K228" s="25" t="e">
        <f t="shared" si="9"/>
        <v>#REF!</v>
      </c>
      <c r="L228" s="25" t="e">
        <f>G228-K228</f>
        <v>#REF!</v>
      </c>
      <c r="M228" s="24" t="e">
        <f>ROUND(I228*H228,2)</f>
        <v>#REF!</v>
      </c>
      <c r="N228" s="21" t="e">
        <f>ROUND(J228*H228,2)</f>
        <v>#REF!</v>
      </c>
      <c r="O228" s="26" t="e">
        <f t="shared" si="10"/>
        <v>#REF!</v>
      </c>
      <c r="P228" s="26" t="e">
        <f>ROUND((G228*H228)-O228,2)</f>
        <v>#REF!</v>
      </c>
      <c r="Q228" s="85">
        <f>IFERROR(ROUND(O228/(G228*H228),2),0)</f>
        <v>0</v>
      </c>
    </row>
    <row r="229" spans="1:17" ht="266.39999999999998" x14ac:dyDescent="1.05">
      <c r="A229" s="32">
        <v>3126</v>
      </c>
      <c r="B229" s="20" t="s">
        <v>215</v>
      </c>
      <c r="C229" s="21" t="s">
        <v>277</v>
      </c>
      <c r="D229" s="22">
        <v>33</v>
      </c>
      <c r="E229" s="22"/>
      <c r="F229" s="22"/>
      <c r="G229" s="22">
        <f t="shared" si="11"/>
        <v>33</v>
      </c>
      <c r="H229" s="24" t="e">
        <f>VLOOKUP(A229,#REF!,5,0)</f>
        <v>#REF!</v>
      </c>
      <c r="I229" s="25" t="e">
        <f>SUM(#REF!)</f>
        <v>#REF!</v>
      </c>
      <c r="J229" s="25" t="e">
        <f>SUMIF(#REF!,'MEDIÇÃO 39'!A229,#REF!)</f>
        <v>#REF!</v>
      </c>
      <c r="K229" s="25" t="e">
        <f t="shared" si="9"/>
        <v>#REF!</v>
      </c>
      <c r="L229" s="25" t="e">
        <f>G229-K229</f>
        <v>#REF!</v>
      </c>
      <c r="M229" s="24" t="e">
        <f>ROUND(I229*H229,2)</f>
        <v>#REF!</v>
      </c>
      <c r="N229" s="21" t="e">
        <f>ROUND(J229*H229,2)</f>
        <v>#REF!</v>
      </c>
      <c r="O229" s="26" t="e">
        <f t="shared" si="10"/>
        <v>#REF!</v>
      </c>
      <c r="P229" s="26" t="e">
        <f>ROUND((G229*H229)-O229,2)</f>
        <v>#REF!</v>
      </c>
      <c r="Q229" s="85">
        <f>IFERROR(ROUND(O229/(G229*H229),2),0)</f>
        <v>0</v>
      </c>
    </row>
    <row r="230" spans="1:17" ht="266.39999999999998" x14ac:dyDescent="1.05">
      <c r="A230" s="32">
        <v>3127</v>
      </c>
      <c r="B230" s="20" t="s">
        <v>216</v>
      </c>
      <c r="C230" s="21" t="s">
        <v>277</v>
      </c>
      <c r="D230" s="22">
        <v>1000</v>
      </c>
      <c r="E230" s="22"/>
      <c r="F230" s="22"/>
      <c r="G230" s="22">
        <f t="shared" si="11"/>
        <v>1000</v>
      </c>
      <c r="H230" s="24" t="e">
        <f>VLOOKUP(A230,#REF!,5,0)</f>
        <v>#REF!</v>
      </c>
      <c r="I230" s="25" t="e">
        <f>SUM(#REF!)</f>
        <v>#REF!</v>
      </c>
      <c r="J230" s="25" t="e">
        <f>SUMIF(#REF!,'MEDIÇÃO 39'!A230,#REF!)</f>
        <v>#REF!</v>
      </c>
      <c r="K230" s="25" t="e">
        <f t="shared" si="9"/>
        <v>#REF!</v>
      </c>
      <c r="L230" s="25" t="e">
        <f>G230-K230</f>
        <v>#REF!</v>
      </c>
      <c r="M230" s="24" t="e">
        <f>ROUND(I230*H230,2)</f>
        <v>#REF!</v>
      </c>
      <c r="N230" s="21" t="e">
        <f>ROUND(J230*H230,2)</f>
        <v>#REF!</v>
      </c>
      <c r="O230" s="26" t="e">
        <f t="shared" si="10"/>
        <v>#REF!</v>
      </c>
      <c r="P230" s="26" t="e">
        <f>ROUND((G230*H230)-O230,2)</f>
        <v>#REF!</v>
      </c>
      <c r="Q230" s="85">
        <f>IFERROR(ROUND(O230/(G230*H230),2),0)</f>
        <v>0</v>
      </c>
    </row>
    <row r="231" spans="1:17" ht="333" x14ac:dyDescent="1.05">
      <c r="A231" s="32">
        <v>3128</v>
      </c>
      <c r="B231" s="20" t="s">
        <v>217</v>
      </c>
      <c r="C231" s="21" t="s">
        <v>277</v>
      </c>
      <c r="D231" s="22">
        <v>817</v>
      </c>
      <c r="E231" s="22"/>
      <c r="F231" s="22">
        <v>55</v>
      </c>
      <c r="G231" s="22">
        <f t="shared" si="11"/>
        <v>872</v>
      </c>
      <c r="H231" s="24" t="e">
        <f>VLOOKUP(A231,#REF!,5,0)</f>
        <v>#REF!</v>
      </c>
      <c r="I231" s="25" t="e">
        <f>SUM(#REF!)</f>
        <v>#REF!</v>
      </c>
      <c r="J231" s="25" t="e">
        <f>SUMIF(#REF!,'MEDIÇÃO 39'!A231,#REF!)</f>
        <v>#REF!</v>
      </c>
      <c r="K231" s="25" t="e">
        <f t="shared" si="9"/>
        <v>#REF!</v>
      </c>
      <c r="L231" s="25" t="e">
        <f>G231-K231</f>
        <v>#REF!</v>
      </c>
      <c r="M231" s="24" t="e">
        <f>ROUND(I231*H231,2)</f>
        <v>#REF!</v>
      </c>
      <c r="N231" s="21" t="e">
        <f>ROUND(J231*H231,2)</f>
        <v>#REF!</v>
      </c>
      <c r="O231" s="26" t="e">
        <f t="shared" si="10"/>
        <v>#REF!</v>
      </c>
      <c r="P231" s="26" t="e">
        <f>ROUND((G231*H231)-O231,2)</f>
        <v>#REF!</v>
      </c>
      <c r="Q231" s="85">
        <f>IFERROR(ROUND(O231/(G231*H231),2),0)</f>
        <v>0</v>
      </c>
    </row>
    <row r="232" spans="1:17" ht="333" x14ac:dyDescent="1.05">
      <c r="A232" s="32">
        <v>3129</v>
      </c>
      <c r="B232" s="20" t="s">
        <v>218</v>
      </c>
      <c r="C232" s="21" t="s">
        <v>277</v>
      </c>
      <c r="D232" s="22">
        <v>223</v>
      </c>
      <c r="E232" s="22">
        <v>90</v>
      </c>
      <c r="F232" s="22">
        <v>50</v>
      </c>
      <c r="G232" s="22">
        <f t="shared" si="11"/>
        <v>363</v>
      </c>
      <c r="H232" s="24" t="e">
        <f>VLOOKUP(A232,#REF!,5,0)</f>
        <v>#REF!</v>
      </c>
      <c r="I232" s="25" t="e">
        <f>SUM(#REF!)</f>
        <v>#REF!</v>
      </c>
      <c r="J232" s="25" t="e">
        <f>SUMIF(#REF!,'MEDIÇÃO 39'!A232,#REF!)</f>
        <v>#REF!</v>
      </c>
      <c r="K232" s="25" t="e">
        <f t="shared" si="9"/>
        <v>#REF!</v>
      </c>
      <c r="L232" s="25" t="e">
        <f>G232-K232</f>
        <v>#REF!</v>
      </c>
      <c r="M232" s="24" t="e">
        <f>ROUND(I232*H232,2)</f>
        <v>#REF!</v>
      </c>
      <c r="N232" s="21" t="e">
        <f>ROUND(J232*H232,2)</f>
        <v>#REF!</v>
      </c>
      <c r="O232" s="26" t="e">
        <f t="shared" si="10"/>
        <v>#REF!</v>
      </c>
      <c r="P232" s="26" t="e">
        <f>ROUND((G232*H232)-O232,2)</f>
        <v>#REF!</v>
      </c>
      <c r="Q232" s="85">
        <f>IFERROR(ROUND(O232/(G232*H232),2),0)</f>
        <v>0</v>
      </c>
    </row>
    <row r="233" spans="1:17" ht="333" x14ac:dyDescent="1.05">
      <c r="A233" s="32">
        <v>3130</v>
      </c>
      <c r="B233" s="20" t="s">
        <v>219</v>
      </c>
      <c r="C233" s="21" t="s">
        <v>277</v>
      </c>
      <c r="D233" s="22">
        <v>311</v>
      </c>
      <c r="E233" s="22">
        <v>90</v>
      </c>
      <c r="F233" s="22">
        <v>50</v>
      </c>
      <c r="G233" s="22">
        <f t="shared" si="11"/>
        <v>451</v>
      </c>
      <c r="H233" s="24" t="e">
        <f>VLOOKUP(A233,#REF!,5,0)</f>
        <v>#REF!</v>
      </c>
      <c r="I233" s="25" t="e">
        <f>SUM(#REF!)</f>
        <v>#REF!</v>
      </c>
      <c r="J233" s="25" t="e">
        <f>SUMIF(#REF!,'MEDIÇÃO 39'!A233,#REF!)</f>
        <v>#REF!</v>
      </c>
      <c r="K233" s="25" t="e">
        <f t="shared" si="9"/>
        <v>#REF!</v>
      </c>
      <c r="L233" s="25" t="e">
        <f>G233-K233</f>
        <v>#REF!</v>
      </c>
      <c r="M233" s="24" t="e">
        <f>ROUND(I233*H233,2)</f>
        <v>#REF!</v>
      </c>
      <c r="N233" s="21" t="e">
        <f>ROUND(J233*H233,2)</f>
        <v>#REF!</v>
      </c>
      <c r="O233" s="26" t="e">
        <f t="shared" si="10"/>
        <v>#REF!</v>
      </c>
      <c r="P233" s="26" t="e">
        <f>ROUND((G233*H233)-O233,2)</f>
        <v>#REF!</v>
      </c>
      <c r="Q233" s="85">
        <f>IFERROR(ROUND(O233/(G233*H233),2),0)</f>
        <v>0</v>
      </c>
    </row>
    <row r="234" spans="1:17" ht="333" x14ac:dyDescent="1.05">
      <c r="A234" s="32">
        <v>3131</v>
      </c>
      <c r="B234" s="20" t="s">
        <v>220</v>
      </c>
      <c r="C234" s="21" t="s">
        <v>277</v>
      </c>
      <c r="D234" s="22">
        <v>298</v>
      </c>
      <c r="E234" s="22"/>
      <c r="F234" s="22"/>
      <c r="G234" s="22">
        <f t="shared" si="11"/>
        <v>298</v>
      </c>
      <c r="H234" s="24" t="e">
        <f>VLOOKUP(A234,#REF!,5,0)</f>
        <v>#REF!</v>
      </c>
      <c r="I234" s="25" t="e">
        <f>SUM(#REF!)</f>
        <v>#REF!</v>
      </c>
      <c r="J234" s="25" t="e">
        <f>SUMIF(#REF!,'MEDIÇÃO 39'!A234,#REF!)</f>
        <v>#REF!</v>
      </c>
      <c r="K234" s="25" t="e">
        <f t="shared" si="9"/>
        <v>#REF!</v>
      </c>
      <c r="L234" s="25" t="e">
        <f>G234-K234</f>
        <v>#REF!</v>
      </c>
      <c r="M234" s="24" t="e">
        <f>ROUND(I234*H234,2)</f>
        <v>#REF!</v>
      </c>
      <c r="N234" s="21" t="e">
        <f>ROUND(J234*H234,2)</f>
        <v>#REF!</v>
      </c>
      <c r="O234" s="26" t="e">
        <f t="shared" si="10"/>
        <v>#REF!</v>
      </c>
      <c r="P234" s="26" t="e">
        <f>ROUND((G234*H234)-O234,2)</f>
        <v>#REF!</v>
      </c>
      <c r="Q234" s="85">
        <f>IFERROR(ROUND(O234/(G234*H234),2),0)</f>
        <v>0</v>
      </c>
    </row>
    <row r="235" spans="1:17" ht="333" x14ac:dyDescent="1.05">
      <c r="A235" s="32">
        <v>3132</v>
      </c>
      <c r="B235" s="20" t="s">
        <v>221</v>
      </c>
      <c r="C235" s="21" t="s">
        <v>277</v>
      </c>
      <c r="D235" s="22">
        <v>194</v>
      </c>
      <c r="E235" s="22"/>
      <c r="F235" s="22"/>
      <c r="G235" s="22">
        <f t="shared" si="11"/>
        <v>194</v>
      </c>
      <c r="H235" s="24" t="e">
        <f>VLOOKUP(A235,#REF!,5,0)</f>
        <v>#REF!</v>
      </c>
      <c r="I235" s="25" t="e">
        <f>SUM(#REF!)</f>
        <v>#REF!</v>
      </c>
      <c r="J235" s="25" t="e">
        <f>SUMIF(#REF!,'MEDIÇÃO 39'!A235,#REF!)</f>
        <v>#REF!</v>
      </c>
      <c r="K235" s="25" t="e">
        <f t="shared" si="9"/>
        <v>#REF!</v>
      </c>
      <c r="L235" s="25" t="e">
        <f>G235-K235</f>
        <v>#REF!</v>
      </c>
      <c r="M235" s="24" t="e">
        <f>ROUND(I235*H235,2)</f>
        <v>#REF!</v>
      </c>
      <c r="N235" s="21" t="e">
        <f>ROUND(J235*H235,2)</f>
        <v>#REF!</v>
      </c>
      <c r="O235" s="26" t="e">
        <f t="shared" si="10"/>
        <v>#REF!</v>
      </c>
      <c r="P235" s="26" t="e">
        <f>ROUND((G235*H235)-O235,2)</f>
        <v>#REF!</v>
      </c>
      <c r="Q235" s="85">
        <f>IFERROR(ROUND(O235/(G235*H235),2),0)</f>
        <v>0</v>
      </c>
    </row>
    <row r="236" spans="1:17" ht="409.6" x14ac:dyDescent="1.05">
      <c r="A236" s="32">
        <v>3133</v>
      </c>
      <c r="B236" s="20" t="s">
        <v>222</v>
      </c>
      <c r="C236" s="21" t="s">
        <v>277</v>
      </c>
      <c r="D236" s="22">
        <v>7</v>
      </c>
      <c r="E236" s="22"/>
      <c r="F236" s="22"/>
      <c r="G236" s="22">
        <f t="shared" si="11"/>
        <v>7</v>
      </c>
      <c r="H236" s="24" t="e">
        <f>VLOOKUP(A236,#REF!,5,0)</f>
        <v>#REF!</v>
      </c>
      <c r="I236" s="25" t="e">
        <f>SUM(#REF!)</f>
        <v>#REF!</v>
      </c>
      <c r="J236" s="25" t="e">
        <f>SUMIF(#REF!,'MEDIÇÃO 39'!A236,#REF!)</f>
        <v>#REF!</v>
      </c>
      <c r="K236" s="25" t="e">
        <f t="shared" si="9"/>
        <v>#REF!</v>
      </c>
      <c r="L236" s="25" t="e">
        <f>G236-K236</f>
        <v>#REF!</v>
      </c>
      <c r="M236" s="24" t="e">
        <f>ROUND(I236*H236,2)</f>
        <v>#REF!</v>
      </c>
      <c r="N236" s="21" t="e">
        <f>ROUND(J236*H236,2)</f>
        <v>#REF!</v>
      </c>
      <c r="O236" s="26" t="e">
        <f t="shared" si="10"/>
        <v>#REF!</v>
      </c>
      <c r="P236" s="26" t="e">
        <f>ROUND((G236*H236)-O236,2)</f>
        <v>#REF!</v>
      </c>
      <c r="Q236" s="85">
        <f>IFERROR(ROUND(O236/(G236*H236),2),0)</f>
        <v>0</v>
      </c>
    </row>
    <row r="237" spans="1:17" ht="409.6" x14ac:dyDescent="1.05">
      <c r="A237" s="32">
        <v>3134</v>
      </c>
      <c r="B237" s="20" t="s">
        <v>223</v>
      </c>
      <c r="C237" s="21" t="s">
        <v>277</v>
      </c>
      <c r="D237" s="22">
        <v>7</v>
      </c>
      <c r="E237" s="22"/>
      <c r="F237" s="22"/>
      <c r="G237" s="22">
        <f t="shared" si="11"/>
        <v>7</v>
      </c>
      <c r="H237" s="24" t="e">
        <f>VLOOKUP(A237,#REF!,5,0)</f>
        <v>#REF!</v>
      </c>
      <c r="I237" s="25" t="e">
        <f>SUM(#REF!)</f>
        <v>#REF!</v>
      </c>
      <c r="J237" s="25" t="e">
        <f>SUMIF(#REF!,'MEDIÇÃO 39'!A237,#REF!)</f>
        <v>#REF!</v>
      </c>
      <c r="K237" s="25" t="e">
        <f t="shared" si="9"/>
        <v>#REF!</v>
      </c>
      <c r="L237" s="25" t="e">
        <f>G237-K237</f>
        <v>#REF!</v>
      </c>
      <c r="M237" s="24" t="e">
        <f>ROUND(I237*H237,2)</f>
        <v>#REF!</v>
      </c>
      <c r="N237" s="21" t="e">
        <f>ROUND(J237*H237,2)</f>
        <v>#REF!</v>
      </c>
      <c r="O237" s="26" t="e">
        <f t="shared" si="10"/>
        <v>#REF!</v>
      </c>
      <c r="P237" s="26" t="e">
        <f>ROUND((G237*H237)-O237,2)</f>
        <v>#REF!</v>
      </c>
      <c r="Q237" s="85">
        <f>IFERROR(ROUND(O237/(G237*H237),2),0)</f>
        <v>0</v>
      </c>
    </row>
    <row r="238" spans="1:17" ht="409.6" x14ac:dyDescent="1.05">
      <c r="A238" s="32">
        <v>3135</v>
      </c>
      <c r="B238" s="20" t="s">
        <v>224</v>
      </c>
      <c r="C238" s="21" t="s">
        <v>277</v>
      </c>
      <c r="D238" s="22">
        <v>7</v>
      </c>
      <c r="E238" s="22"/>
      <c r="F238" s="22"/>
      <c r="G238" s="22">
        <f t="shared" si="11"/>
        <v>7</v>
      </c>
      <c r="H238" s="24" t="e">
        <f>VLOOKUP(A238,#REF!,5,0)</f>
        <v>#REF!</v>
      </c>
      <c r="I238" s="25" t="e">
        <f>SUM(#REF!)</f>
        <v>#REF!</v>
      </c>
      <c r="J238" s="25" t="e">
        <f>SUMIF(#REF!,'MEDIÇÃO 39'!A238,#REF!)</f>
        <v>#REF!</v>
      </c>
      <c r="K238" s="25" t="e">
        <f t="shared" si="9"/>
        <v>#REF!</v>
      </c>
      <c r="L238" s="25" t="e">
        <f>G238-K238</f>
        <v>#REF!</v>
      </c>
      <c r="M238" s="24" t="e">
        <f>ROUND(I238*H238,2)</f>
        <v>#REF!</v>
      </c>
      <c r="N238" s="21" t="e">
        <f>ROUND(J238*H238,2)</f>
        <v>#REF!</v>
      </c>
      <c r="O238" s="26" t="e">
        <f t="shared" si="10"/>
        <v>#REF!</v>
      </c>
      <c r="P238" s="26" t="e">
        <f>ROUND((G238*H238)-O238,2)</f>
        <v>#REF!</v>
      </c>
      <c r="Q238" s="85">
        <f>IFERROR(ROUND(O238/(G238*H238),2),0)</f>
        <v>0</v>
      </c>
    </row>
    <row r="239" spans="1:17" ht="266.39999999999998" x14ac:dyDescent="1.05">
      <c r="A239" s="32">
        <v>3136</v>
      </c>
      <c r="B239" s="20" t="s">
        <v>225</v>
      </c>
      <c r="C239" s="21" t="s">
        <v>277</v>
      </c>
      <c r="D239" s="22">
        <v>25</v>
      </c>
      <c r="E239" s="22"/>
      <c r="F239" s="22"/>
      <c r="G239" s="22">
        <f t="shared" si="11"/>
        <v>25</v>
      </c>
      <c r="H239" s="24" t="e">
        <f>VLOOKUP(A239,#REF!,5,0)</f>
        <v>#REF!</v>
      </c>
      <c r="I239" s="25" t="e">
        <f>SUM(#REF!)</f>
        <v>#REF!</v>
      </c>
      <c r="J239" s="25" t="e">
        <f>SUMIF(#REF!,'MEDIÇÃO 39'!A239,#REF!)</f>
        <v>#REF!</v>
      </c>
      <c r="K239" s="25" t="e">
        <f t="shared" si="9"/>
        <v>#REF!</v>
      </c>
      <c r="L239" s="25" t="e">
        <f>G239-K239</f>
        <v>#REF!</v>
      </c>
      <c r="M239" s="24" t="e">
        <f>ROUND(I239*H239,2)</f>
        <v>#REF!</v>
      </c>
      <c r="N239" s="21" t="e">
        <f>ROUND(J239*H239,2)</f>
        <v>#REF!</v>
      </c>
      <c r="O239" s="26" t="e">
        <f t="shared" si="10"/>
        <v>#REF!</v>
      </c>
      <c r="P239" s="26" t="e">
        <f>ROUND((G239*H239)-O239,2)</f>
        <v>#REF!</v>
      </c>
      <c r="Q239" s="85">
        <f>IFERROR(ROUND(O239/(G239*H239),2),0)</f>
        <v>0</v>
      </c>
    </row>
    <row r="240" spans="1:17" ht="266.39999999999998" x14ac:dyDescent="1.05">
      <c r="A240" s="32">
        <v>3137</v>
      </c>
      <c r="B240" s="20" t="s">
        <v>226</v>
      </c>
      <c r="C240" s="21" t="s">
        <v>277</v>
      </c>
      <c r="D240" s="22">
        <v>25</v>
      </c>
      <c r="E240" s="22"/>
      <c r="F240" s="22"/>
      <c r="G240" s="22">
        <f t="shared" si="11"/>
        <v>25</v>
      </c>
      <c r="H240" s="24" t="e">
        <f>VLOOKUP(A240,#REF!,5,0)</f>
        <v>#REF!</v>
      </c>
      <c r="I240" s="25" t="e">
        <f>SUM(#REF!)</f>
        <v>#REF!</v>
      </c>
      <c r="J240" s="25" t="e">
        <f>SUMIF(#REF!,'MEDIÇÃO 39'!A240,#REF!)</f>
        <v>#REF!</v>
      </c>
      <c r="K240" s="25" t="e">
        <f t="shared" si="9"/>
        <v>#REF!</v>
      </c>
      <c r="L240" s="25" t="e">
        <f>G240-K240</f>
        <v>#REF!</v>
      </c>
      <c r="M240" s="24" t="e">
        <f>ROUND(I240*H240,2)</f>
        <v>#REF!</v>
      </c>
      <c r="N240" s="21" t="e">
        <f>ROUND(J240*H240,2)</f>
        <v>#REF!</v>
      </c>
      <c r="O240" s="26" t="e">
        <f t="shared" si="10"/>
        <v>#REF!</v>
      </c>
      <c r="P240" s="26" t="e">
        <f>ROUND((G240*H240)-O240,2)</f>
        <v>#REF!</v>
      </c>
      <c r="Q240" s="85">
        <f>IFERROR(ROUND(O240/(G240*H240),2),0)</f>
        <v>0</v>
      </c>
    </row>
    <row r="241" spans="1:17" ht="266.39999999999998" x14ac:dyDescent="1.05">
      <c r="A241" s="32">
        <v>3138</v>
      </c>
      <c r="B241" s="20" t="s">
        <v>227</v>
      </c>
      <c r="C241" s="21" t="s">
        <v>277</v>
      </c>
      <c r="D241" s="22">
        <v>25</v>
      </c>
      <c r="E241" s="22"/>
      <c r="F241" s="22"/>
      <c r="G241" s="22">
        <f t="shared" si="11"/>
        <v>25</v>
      </c>
      <c r="H241" s="24" t="e">
        <f>VLOOKUP(A241,#REF!,5,0)</f>
        <v>#REF!</v>
      </c>
      <c r="I241" s="25" t="e">
        <f>SUM(#REF!)</f>
        <v>#REF!</v>
      </c>
      <c r="J241" s="25" t="e">
        <f>SUMIF(#REF!,'MEDIÇÃO 39'!A241,#REF!)</f>
        <v>#REF!</v>
      </c>
      <c r="K241" s="25" t="e">
        <f t="shared" si="9"/>
        <v>#REF!</v>
      </c>
      <c r="L241" s="25" t="e">
        <f>G241-K241</f>
        <v>#REF!</v>
      </c>
      <c r="M241" s="24" t="e">
        <f>ROUND(I241*H241,2)</f>
        <v>#REF!</v>
      </c>
      <c r="N241" s="21" t="e">
        <f>ROUND(J241*H241,2)</f>
        <v>#REF!</v>
      </c>
      <c r="O241" s="26" t="e">
        <f t="shared" si="10"/>
        <v>#REF!</v>
      </c>
      <c r="P241" s="26" t="e">
        <f>ROUND((G241*H241)-O241,2)</f>
        <v>#REF!</v>
      </c>
      <c r="Q241" s="85">
        <f>IFERROR(ROUND(O241/(G241*H241),2),0)</f>
        <v>0</v>
      </c>
    </row>
    <row r="242" spans="1:17" ht="266.39999999999998" x14ac:dyDescent="1.05">
      <c r="A242" s="32">
        <v>3139</v>
      </c>
      <c r="B242" s="20" t="s">
        <v>228</v>
      </c>
      <c r="C242" s="21" t="s">
        <v>277</v>
      </c>
      <c r="D242" s="22">
        <v>25</v>
      </c>
      <c r="E242" s="22"/>
      <c r="F242" s="22"/>
      <c r="G242" s="22">
        <f t="shared" si="11"/>
        <v>25</v>
      </c>
      <c r="H242" s="24" t="e">
        <f>VLOOKUP(A242,#REF!,5,0)</f>
        <v>#REF!</v>
      </c>
      <c r="I242" s="25" t="e">
        <f>SUM(#REF!)</f>
        <v>#REF!</v>
      </c>
      <c r="J242" s="25" t="e">
        <f>SUMIF(#REF!,'MEDIÇÃO 39'!A242,#REF!)</f>
        <v>#REF!</v>
      </c>
      <c r="K242" s="25" t="e">
        <f t="shared" si="9"/>
        <v>#REF!</v>
      </c>
      <c r="L242" s="25" t="e">
        <f>G242-K242</f>
        <v>#REF!</v>
      </c>
      <c r="M242" s="24" t="e">
        <f>ROUND(I242*H242,2)</f>
        <v>#REF!</v>
      </c>
      <c r="N242" s="21" t="e">
        <f>ROUND(J242*H242,2)</f>
        <v>#REF!</v>
      </c>
      <c r="O242" s="26" t="e">
        <f t="shared" si="10"/>
        <v>#REF!</v>
      </c>
      <c r="P242" s="26" t="e">
        <f>ROUND((G242*H242)-O242,2)</f>
        <v>#REF!</v>
      </c>
      <c r="Q242" s="85">
        <f>IFERROR(ROUND(O242/(G242*H242),2),0)</f>
        <v>0</v>
      </c>
    </row>
    <row r="243" spans="1:17" ht="266.39999999999998" x14ac:dyDescent="1.05">
      <c r="A243" s="32">
        <v>3140</v>
      </c>
      <c r="B243" s="20" t="s">
        <v>229</v>
      </c>
      <c r="C243" s="21" t="s">
        <v>277</v>
      </c>
      <c r="D243" s="22">
        <v>25</v>
      </c>
      <c r="E243" s="22"/>
      <c r="F243" s="22"/>
      <c r="G243" s="22">
        <f t="shared" si="11"/>
        <v>25</v>
      </c>
      <c r="H243" s="24" t="e">
        <f>VLOOKUP(A243,#REF!,5,0)</f>
        <v>#REF!</v>
      </c>
      <c r="I243" s="25" t="e">
        <f>SUM(#REF!)</f>
        <v>#REF!</v>
      </c>
      <c r="J243" s="25" t="e">
        <f>SUMIF(#REF!,'MEDIÇÃO 39'!A243,#REF!)</f>
        <v>#REF!</v>
      </c>
      <c r="K243" s="25" t="e">
        <f t="shared" si="9"/>
        <v>#REF!</v>
      </c>
      <c r="L243" s="25" t="e">
        <f>G243-K243</f>
        <v>#REF!</v>
      </c>
      <c r="M243" s="24" t="e">
        <f>ROUND(I243*H243,2)</f>
        <v>#REF!</v>
      </c>
      <c r="N243" s="21" t="e">
        <f>ROUND(J243*H243,2)</f>
        <v>#REF!</v>
      </c>
      <c r="O243" s="26" t="e">
        <f t="shared" si="10"/>
        <v>#REF!</v>
      </c>
      <c r="P243" s="26" t="e">
        <f>ROUND((G243*H243)-O243,2)</f>
        <v>#REF!</v>
      </c>
      <c r="Q243" s="85">
        <f>IFERROR(ROUND(O243/(G243*H243),2),0)</f>
        <v>0</v>
      </c>
    </row>
    <row r="244" spans="1:17" ht="66.599999999999994" x14ac:dyDescent="1.05">
      <c r="A244" s="32">
        <v>3141</v>
      </c>
      <c r="B244" s="20" t="s">
        <v>230</v>
      </c>
      <c r="C244" s="21" t="s">
        <v>277</v>
      </c>
      <c r="D244" s="22">
        <v>150</v>
      </c>
      <c r="E244" s="22"/>
      <c r="F244" s="22"/>
      <c r="G244" s="22">
        <f t="shared" si="11"/>
        <v>150</v>
      </c>
      <c r="H244" s="24" t="e">
        <f>VLOOKUP(A244,#REF!,5,0)</f>
        <v>#REF!</v>
      </c>
      <c r="I244" s="25" t="e">
        <f>SUM(#REF!)</f>
        <v>#REF!</v>
      </c>
      <c r="J244" s="25" t="e">
        <f>SUMIF(#REF!,'MEDIÇÃO 39'!A244,#REF!)</f>
        <v>#REF!</v>
      </c>
      <c r="K244" s="25" t="e">
        <f t="shared" si="9"/>
        <v>#REF!</v>
      </c>
      <c r="L244" s="25" t="e">
        <f>G244-K244</f>
        <v>#REF!</v>
      </c>
      <c r="M244" s="24" t="e">
        <f>ROUND(I244*H244,2)</f>
        <v>#REF!</v>
      </c>
      <c r="N244" s="21" t="e">
        <f>ROUND(J244*H244,2)</f>
        <v>#REF!</v>
      </c>
      <c r="O244" s="26" t="e">
        <f t="shared" si="10"/>
        <v>#REF!</v>
      </c>
      <c r="P244" s="26" t="e">
        <f>ROUND((G244*H244)-O244,2)</f>
        <v>#REF!</v>
      </c>
      <c r="Q244" s="85">
        <f>IFERROR(ROUND(O244/(G244*H244),2),0)</f>
        <v>0</v>
      </c>
    </row>
    <row r="245" spans="1:17" ht="66.599999999999994" x14ac:dyDescent="1.05">
      <c r="A245" s="32">
        <v>3142</v>
      </c>
      <c r="B245" s="20" t="s">
        <v>231</v>
      </c>
      <c r="C245" s="21" t="s">
        <v>277</v>
      </c>
      <c r="D245" s="22">
        <v>150</v>
      </c>
      <c r="E245" s="22"/>
      <c r="F245" s="22"/>
      <c r="G245" s="22">
        <f t="shared" si="11"/>
        <v>150</v>
      </c>
      <c r="H245" s="24" t="e">
        <f>VLOOKUP(A245,#REF!,5,0)</f>
        <v>#REF!</v>
      </c>
      <c r="I245" s="25" t="e">
        <f>SUM(#REF!)</f>
        <v>#REF!</v>
      </c>
      <c r="J245" s="25" t="e">
        <f>SUMIF(#REF!,'MEDIÇÃO 39'!A245,#REF!)</f>
        <v>#REF!</v>
      </c>
      <c r="K245" s="25" t="e">
        <f t="shared" si="9"/>
        <v>#REF!</v>
      </c>
      <c r="L245" s="25" t="e">
        <f>G245-K245</f>
        <v>#REF!</v>
      </c>
      <c r="M245" s="24" t="e">
        <f>ROUND(I245*H245,2)</f>
        <v>#REF!</v>
      </c>
      <c r="N245" s="21" t="e">
        <f>ROUND(J245*H245,2)</f>
        <v>#REF!</v>
      </c>
      <c r="O245" s="26" t="e">
        <f t="shared" si="10"/>
        <v>#REF!</v>
      </c>
      <c r="P245" s="26" t="e">
        <f>ROUND((G245*H245)-O245,2)</f>
        <v>#REF!</v>
      </c>
      <c r="Q245" s="85">
        <f>IFERROR(ROUND(O245/(G245*H245),2),0)</f>
        <v>0</v>
      </c>
    </row>
    <row r="246" spans="1:17" ht="66.599999999999994" x14ac:dyDescent="1.05">
      <c r="A246" s="32">
        <v>3143</v>
      </c>
      <c r="B246" s="20" t="s">
        <v>232</v>
      </c>
      <c r="C246" s="21" t="s">
        <v>277</v>
      </c>
      <c r="D246" s="22">
        <v>3712</v>
      </c>
      <c r="E246" s="22"/>
      <c r="F246" s="22"/>
      <c r="G246" s="22">
        <f t="shared" si="11"/>
        <v>3712</v>
      </c>
      <c r="H246" s="24" t="e">
        <f>VLOOKUP(A246,#REF!,5,0)</f>
        <v>#REF!</v>
      </c>
      <c r="I246" s="25" t="e">
        <f>SUM(#REF!)</f>
        <v>#REF!</v>
      </c>
      <c r="J246" s="25" t="e">
        <f>SUMIF(#REF!,'MEDIÇÃO 39'!A246,#REF!)</f>
        <v>#REF!</v>
      </c>
      <c r="K246" s="25" t="e">
        <f t="shared" si="9"/>
        <v>#REF!</v>
      </c>
      <c r="L246" s="25" t="e">
        <f>G246-K246</f>
        <v>#REF!</v>
      </c>
      <c r="M246" s="24" t="e">
        <f>ROUND(I246*H246,2)</f>
        <v>#REF!</v>
      </c>
      <c r="N246" s="21" t="e">
        <f>ROUND(J246*H246,2)</f>
        <v>#REF!</v>
      </c>
      <c r="O246" s="26" t="e">
        <f t="shared" si="10"/>
        <v>#REF!</v>
      </c>
      <c r="P246" s="26" t="e">
        <f>ROUND((G246*H246)-O246,2)</f>
        <v>#REF!</v>
      </c>
      <c r="Q246" s="85">
        <f>IFERROR(ROUND(O246/(G246*H246),2),0)</f>
        <v>0</v>
      </c>
    </row>
    <row r="247" spans="1:17" ht="66.599999999999994" x14ac:dyDescent="1.05">
      <c r="A247" s="32">
        <v>3144</v>
      </c>
      <c r="B247" s="20" t="s">
        <v>233</v>
      </c>
      <c r="C247" s="21" t="s">
        <v>277</v>
      </c>
      <c r="D247" s="22">
        <v>150</v>
      </c>
      <c r="E247" s="22"/>
      <c r="F247" s="22"/>
      <c r="G247" s="22">
        <f t="shared" si="11"/>
        <v>150</v>
      </c>
      <c r="H247" s="24" t="e">
        <f>VLOOKUP(A247,#REF!,5,0)</f>
        <v>#REF!</v>
      </c>
      <c r="I247" s="25" t="e">
        <f>SUM(#REF!)</f>
        <v>#REF!</v>
      </c>
      <c r="J247" s="25" t="e">
        <f>SUMIF(#REF!,'MEDIÇÃO 39'!A247,#REF!)</f>
        <v>#REF!</v>
      </c>
      <c r="K247" s="25" t="e">
        <f t="shared" si="9"/>
        <v>#REF!</v>
      </c>
      <c r="L247" s="25" t="e">
        <f>G247-K247</f>
        <v>#REF!</v>
      </c>
      <c r="M247" s="24" t="e">
        <f>ROUND(I247*H247,2)</f>
        <v>#REF!</v>
      </c>
      <c r="N247" s="21" t="e">
        <f>ROUND(J247*H247,2)</f>
        <v>#REF!</v>
      </c>
      <c r="O247" s="26" t="e">
        <f t="shared" si="10"/>
        <v>#REF!</v>
      </c>
      <c r="P247" s="26" t="e">
        <f>ROUND((G247*H247)-O247,2)</f>
        <v>#REF!</v>
      </c>
      <c r="Q247" s="85">
        <f>IFERROR(ROUND(O247/(G247*H247),2),0)</f>
        <v>0</v>
      </c>
    </row>
    <row r="248" spans="1:17" ht="333" x14ac:dyDescent="1.05">
      <c r="A248" s="32">
        <v>3145</v>
      </c>
      <c r="B248" s="20" t="s">
        <v>234</v>
      </c>
      <c r="C248" s="21" t="s">
        <v>282</v>
      </c>
      <c r="D248" s="22">
        <v>1756</v>
      </c>
      <c r="E248" s="22"/>
      <c r="F248" s="22"/>
      <c r="G248" s="22">
        <f t="shared" si="11"/>
        <v>1756</v>
      </c>
      <c r="H248" s="24" t="e">
        <f>VLOOKUP(A248,#REF!,5,0)</f>
        <v>#REF!</v>
      </c>
      <c r="I248" s="25" t="e">
        <f>SUM(#REF!)</f>
        <v>#REF!</v>
      </c>
      <c r="J248" s="25" t="e">
        <f>SUMIF(#REF!,'MEDIÇÃO 39'!A248,#REF!)</f>
        <v>#REF!</v>
      </c>
      <c r="K248" s="25" t="e">
        <f t="shared" si="9"/>
        <v>#REF!</v>
      </c>
      <c r="L248" s="25" t="e">
        <f>G248-K248</f>
        <v>#REF!</v>
      </c>
      <c r="M248" s="24" t="e">
        <f>ROUND(I248*H248,2)</f>
        <v>#REF!</v>
      </c>
      <c r="N248" s="21" t="e">
        <f>ROUND(J248*H248,2)</f>
        <v>#REF!</v>
      </c>
      <c r="O248" s="26" t="e">
        <f t="shared" si="10"/>
        <v>#REF!</v>
      </c>
      <c r="P248" s="26" t="e">
        <f>ROUND((G248*H248)-O248,2)</f>
        <v>#REF!</v>
      </c>
      <c r="Q248" s="85">
        <f>IFERROR(ROUND(O248/(G248*H248),2),0)</f>
        <v>0</v>
      </c>
    </row>
    <row r="249" spans="1:17" ht="66.599999999999994" x14ac:dyDescent="1.05">
      <c r="A249" s="32">
        <v>3146</v>
      </c>
      <c r="B249" s="20" t="s">
        <v>235</v>
      </c>
      <c r="C249" s="21" t="s">
        <v>277</v>
      </c>
      <c r="D249" s="22">
        <v>1200</v>
      </c>
      <c r="E249" s="22"/>
      <c r="F249" s="22"/>
      <c r="G249" s="22">
        <f t="shared" si="11"/>
        <v>1200</v>
      </c>
      <c r="H249" s="24" t="e">
        <f>VLOOKUP(A249,#REF!,5,0)</f>
        <v>#REF!</v>
      </c>
      <c r="I249" s="25" t="e">
        <f>SUM(#REF!)</f>
        <v>#REF!</v>
      </c>
      <c r="J249" s="25" t="e">
        <f>SUMIF(#REF!,'MEDIÇÃO 39'!A249,#REF!)</f>
        <v>#REF!</v>
      </c>
      <c r="K249" s="25" t="e">
        <f t="shared" si="9"/>
        <v>#REF!</v>
      </c>
      <c r="L249" s="25" t="e">
        <f>G249-K249</f>
        <v>#REF!</v>
      </c>
      <c r="M249" s="24" t="e">
        <f>ROUND(I249*H249,2)</f>
        <v>#REF!</v>
      </c>
      <c r="N249" s="21" t="e">
        <f>ROUND(J249*H249,2)</f>
        <v>#REF!</v>
      </c>
      <c r="O249" s="26" t="e">
        <f t="shared" si="10"/>
        <v>#REF!</v>
      </c>
      <c r="P249" s="26" t="e">
        <f>ROUND((G249*H249)-O249,2)</f>
        <v>#REF!</v>
      </c>
      <c r="Q249" s="85">
        <f>IFERROR(ROUND(O249/(G249*H249),2),0)</f>
        <v>0</v>
      </c>
    </row>
    <row r="250" spans="1:17" ht="399.6" x14ac:dyDescent="1.05">
      <c r="A250" s="32">
        <v>3147</v>
      </c>
      <c r="B250" s="20" t="s">
        <v>236</v>
      </c>
      <c r="C250" s="21" t="s">
        <v>277</v>
      </c>
      <c r="D250" s="22">
        <v>50</v>
      </c>
      <c r="E250" s="22"/>
      <c r="F250" s="22"/>
      <c r="G250" s="22">
        <f t="shared" si="11"/>
        <v>50</v>
      </c>
      <c r="H250" s="24" t="e">
        <f>VLOOKUP(A250,#REF!,5,0)</f>
        <v>#REF!</v>
      </c>
      <c r="I250" s="25" t="e">
        <f>SUM(#REF!)</f>
        <v>#REF!</v>
      </c>
      <c r="J250" s="25" t="e">
        <f>SUMIF(#REF!,'MEDIÇÃO 39'!A250,#REF!)</f>
        <v>#REF!</v>
      </c>
      <c r="K250" s="25" t="e">
        <f t="shared" si="9"/>
        <v>#REF!</v>
      </c>
      <c r="L250" s="25" t="e">
        <f>G250-K250</f>
        <v>#REF!</v>
      </c>
      <c r="M250" s="24" t="e">
        <f>ROUND(I250*H250,2)</f>
        <v>#REF!</v>
      </c>
      <c r="N250" s="21" t="e">
        <f>ROUND(J250*H250,2)</f>
        <v>#REF!</v>
      </c>
      <c r="O250" s="26" t="e">
        <f t="shared" si="10"/>
        <v>#REF!</v>
      </c>
      <c r="P250" s="26" t="e">
        <f>ROUND((G250*H250)-O250,2)</f>
        <v>#REF!</v>
      </c>
      <c r="Q250" s="85">
        <f>IFERROR(ROUND(O250/(G250*H250),2),0)</f>
        <v>0</v>
      </c>
    </row>
    <row r="251" spans="1:17" ht="399.6" x14ac:dyDescent="1.05">
      <c r="A251" s="32">
        <v>3148</v>
      </c>
      <c r="B251" s="20" t="s">
        <v>237</v>
      </c>
      <c r="C251" s="21" t="s">
        <v>277</v>
      </c>
      <c r="D251" s="22">
        <v>50</v>
      </c>
      <c r="E251" s="22">
        <v>10</v>
      </c>
      <c r="F251" s="22"/>
      <c r="G251" s="22">
        <f t="shared" si="11"/>
        <v>60</v>
      </c>
      <c r="H251" s="24" t="e">
        <f>VLOOKUP(A251,#REF!,5,0)</f>
        <v>#REF!</v>
      </c>
      <c r="I251" s="25" t="e">
        <f>SUM(#REF!)</f>
        <v>#REF!</v>
      </c>
      <c r="J251" s="25" t="e">
        <f>SUMIF(#REF!,'MEDIÇÃO 39'!A251,#REF!)</f>
        <v>#REF!</v>
      </c>
      <c r="K251" s="25" t="e">
        <f t="shared" si="9"/>
        <v>#REF!</v>
      </c>
      <c r="L251" s="25" t="e">
        <f>G251-K251</f>
        <v>#REF!</v>
      </c>
      <c r="M251" s="24" t="e">
        <f>ROUND(I251*H251,2)</f>
        <v>#REF!</v>
      </c>
      <c r="N251" s="21" t="e">
        <f>ROUND(J251*H251,2)</f>
        <v>#REF!</v>
      </c>
      <c r="O251" s="26" t="e">
        <f t="shared" si="10"/>
        <v>#REF!</v>
      </c>
      <c r="P251" s="26" t="e">
        <f>ROUND((G251*H251)-O251,2)</f>
        <v>#REF!</v>
      </c>
      <c r="Q251" s="85">
        <f>IFERROR(ROUND(O251/(G251*H251),2),0)</f>
        <v>0</v>
      </c>
    </row>
    <row r="252" spans="1:17" ht="399.6" x14ac:dyDescent="1.05">
      <c r="A252" s="32">
        <v>3149</v>
      </c>
      <c r="B252" s="20" t="s">
        <v>238</v>
      </c>
      <c r="C252" s="21" t="s">
        <v>277</v>
      </c>
      <c r="D252" s="22">
        <v>50</v>
      </c>
      <c r="E252" s="22">
        <v>10</v>
      </c>
      <c r="F252" s="22"/>
      <c r="G252" s="22">
        <f t="shared" si="11"/>
        <v>60</v>
      </c>
      <c r="H252" s="24" t="e">
        <f>VLOOKUP(A252,#REF!,5,0)</f>
        <v>#REF!</v>
      </c>
      <c r="I252" s="25" t="e">
        <f>SUM(#REF!)</f>
        <v>#REF!</v>
      </c>
      <c r="J252" s="25" t="e">
        <f>SUMIF(#REF!,'MEDIÇÃO 39'!A252,#REF!)</f>
        <v>#REF!</v>
      </c>
      <c r="K252" s="25" t="e">
        <f t="shared" si="9"/>
        <v>#REF!</v>
      </c>
      <c r="L252" s="25" t="e">
        <f>G252-K252</f>
        <v>#REF!</v>
      </c>
      <c r="M252" s="24" t="e">
        <f>ROUND(I252*H252,2)</f>
        <v>#REF!</v>
      </c>
      <c r="N252" s="21" t="e">
        <f>ROUND(J252*H252,2)</f>
        <v>#REF!</v>
      </c>
      <c r="O252" s="26" t="e">
        <f t="shared" si="10"/>
        <v>#REF!</v>
      </c>
      <c r="P252" s="26" t="e">
        <f>ROUND((G252*H252)-O252,2)</f>
        <v>#REF!</v>
      </c>
      <c r="Q252" s="85">
        <f>IFERROR(ROUND(O252/(G252*H252),2),0)</f>
        <v>0</v>
      </c>
    </row>
    <row r="253" spans="1:17" ht="66.599999999999994" x14ac:dyDescent="1.05">
      <c r="A253" s="32">
        <v>3150</v>
      </c>
      <c r="B253" s="20" t="s">
        <v>239</v>
      </c>
      <c r="C253" s="21" t="s">
        <v>277</v>
      </c>
      <c r="D253" s="22">
        <v>50</v>
      </c>
      <c r="E253" s="22">
        <v>120</v>
      </c>
      <c r="F253" s="22"/>
      <c r="G253" s="22">
        <f t="shared" si="11"/>
        <v>170</v>
      </c>
      <c r="H253" s="24" t="e">
        <f>VLOOKUP(A253,#REF!,5,0)</f>
        <v>#REF!</v>
      </c>
      <c r="I253" s="25" t="e">
        <f>SUM(#REF!)</f>
        <v>#REF!</v>
      </c>
      <c r="J253" s="25" t="e">
        <f>SUMIF(#REF!,'MEDIÇÃO 39'!A253,#REF!)</f>
        <v>#REF!</v>
      </c>
      <c r="K253" s="25" t="e">
        <f t="shared" si="9"/>
        <v>#REF!</v>
      </c>
      <c r="L253" s="25" t="e">
        <f>G253-K253</f>
        <v>#REF!</v>
      </c>
      <c r="M253" s="24" t="e">
        <f>ROUND(I253*H253,2)</f>
        <v>#REF!</v>
      </c>
      <c r="N253" s="21" t="e">
        <f>ROUND(J253*H253,2)</f>
        <v>#REF!</v>
      </c>
      <c r="O253" s="26" t="e">
        <f t="shared" si="10"/>
        <v>#REF!</v>
      </c>
      <c r="P253" s="26" t="e">
        <f>ROUND((G253*H253)-O253,2)</f>
        <v>#REF!</v>
      </c>
      <c r="Q253" s="85">
        <f>IFERROR(ROUND(O253/(G253*H253),2),0)</f>
        <v>0</v>
      </c>
    </row>
    <row r="254" spans="1:17" ht="409.6" x14ac:dyDescent="1.05">
      <c r="A254" s="32">
        <v>3151</v>
      </c>
      <c r="B254" s="20" t="s">
        <v>240</v>
      </c>
      <c r="C254" s="21" t="s">
        <v>277</v>
      </c>
      <c r="D254" s="22">
        <v>25</v>
      </c>
      <c r="E254" s="22"/>
      <c r="F254" s="22"/>
      <c r="G254" s="22">
        <f t="shared" si="11"/>
        <v>25</v>
      </c>
      <c r="H254" s="24" t="e">
        <f>VLOOKUP(A254,#REF!,5,0)</f>
        <v>#REF!</v>
      </c>
      <c r="I254" s="25" t="e">
        <f>SUM(#REF!)</f>
        <v>#REF!</v>
      </c>
      <c r="J254" s="25" t="e">
        <f>SUMIF(#REF!,'MEDIÇÃO 39'!A254,#REF!)</f>
        <v>#REF!</v>
      </c>
      <c r="K254" s="25" t="e">
        <f t="shared" si="9"/>
        <v>#REF!</v>
      </c>
      <c r="L254" s="25" t="e">
        <f>G254-K254</f>
        <v>#REF!</v>
      </c>
      <c r="M254" s="24" t="e">
        <f>ROUND(I254*H254,2)</f>
        <v>#REF!</v>
      </c>
      <c r="N254" s="21" t="e">
        <f>ROUND(J254*H254,2)</f>
        <v>#REF!</v>
      </c>
      <c r="O254" s="26" t="e">
        <f t="shared" si="10"/>
        <v>#REF!</v>
      </c>
      <c r="P254" s="26" t="e">
        <f>ROUND((G254*H254)-O254,2)</f>
        <v>#REF!</v>
      </c>
      <c r="Q254" s="85">
        <f>IFERROR(ROUND(O254/(G254*H254),2),0)</f>
        <v>0</v>
      </c>
    </row>
    <row r="255" spans="1:17" ht="399.6" x14ac:dyDescent="1.05">
      <c r="A255" s="32">
        <v>3152</v>
      </c>
      <c r="B255" s="20" t="s">
        <v>241</v>
      </c>
      <c r="C255" s="21" t="s">
        <v>277</v>
      </c>
      <c r="D255" s="22">
        <v>5</v>
      </c>
      <c r="E255" s="22"/>
      <c r="F255" s="22"/>
      <c r="G255" s="22">
        <f t="shared" si="11"/>
        <v>5</v>
      </c>
      <c r="H255" s="24" t="e">
        <f>VLOOKUP(A255,#REF!,5,0)</f>
        <v>#REF!</v>
      </c>
      <c r="I255" s="25" t="e">
        <f>SUM(#REF!)</f>
        <v>#REF!</v>
      </c>
      <c r="J255" s="25" t="e">
        <f>SUMIF(#REF!,'MEDIÇÃO 39'!A255,#REF!)</f>
        <v>#REF!</v>
      </c>
      <c r="K255" s="25" t="e">
        <f t="shared" si="9"/>
        <v>#REF!</v>
      </c>
      <c r="L255" s="25" t="e">
        <f>G255-K255</f>
        <v>#REF!</v>
      </c>
      <c r="M255" s="24" t="e">
        <f>ROUND(I255*H255,2)</f>
        <v>#REF!</v>
      </c>
      <c r="N255" s="21" t="e">
        <f>ROUND(J255*H255,2)</f>
        <v>#REF!</v>
      </c>
      <c r="O255" s="26" t="e">
        <f t="shared" si="10"/>
        <v>#REF!</v>
      </c>
      <c r="P255" s="26" t="e">
        <f>ROUND((G255*H255)-O255,2)</f>
        <v>#REF!</v>
      </c>
      <c r="Q255" s="85">
        <f>IFERROR(ROUND(O255/(G255*H255),2),0)</f>
        <v>0</v>
      </c>
    </row>
    <row r="256" spans="1:17" ht="399.6" x14ac:dyDescent="1.05">
      <c r="A256" s="32">
        <v>3153</v>
      </c>
      <c r="B256" s="20" t="s">
        <v>242</v>
      </c>
      <c r="C256" s="21" t="s">
        <v>277</v>
      </c>
      <c r="D256" s="22">
        <v>12</v>
      </c>
      <c r="E256" s="22"/>
      <c r="F256" s="22"/>
      <c r="G256" s="22">
        <f t="shared" si="11"/>
        <v>12</v>
      </c>
      <c r="H256" s="24" t="e">
        <f>VLOOKUP(A256,#REF!,5,0)</f>
        <v>#REF!</v>
      </c>
      <c r="I256" s="25" t="e">
        <f>SUM(#REF!)</f>
        <v>#REF!</v>
      </c>
      <c r="J256" s="25" t="e">
        <f>SUMIF(#REF!,'MEDIÇÃO 39'!A256,#REF!)</f>
        <v>#REF!</v>
      </c>
      <c r="K256" s="25" t="e">
        <f t="shared" si="9"/>
        <v>#REF!</v>
      </c>
      <c r="L256" s="25" t="e">
        <f>G256-K256</f>
        <v>#REF!</v>
      </c>
      <c r="M256" s="24" t="e">
        <f>ROUND(I256*H256,2)</f>
        <v>#REF!</v>
      </c>
      <c r="N256" s="21" t="e">
        <f>ROUND(J256*H256,2)</f>
        <v>#REF!</v>
      </c>
      <c r="O256" s="26" t="e">
        <f t="shared" si="10"/>
        <v>#REF!</v>
      </c>
      <c r="P256" s="26" t="e">
        <f>ROUND((G256*H256)-O256,2)</f>
        <v>#REF!</v>
      </c>
      <c r="Q256" s="85">
        <f>IFERROR(ROUND(O256/(G256*H256),2),0)</f>
        <v>0</v>
      </c>
    </row>
    <row r="257" spans="1:17" ht="399.6" x14ac:dyDescent="1.05">
      <c r="A257" s="32">
        <v>3154</v>
      </c>
      <c r="B257" s="20" t="s">
        <v>243</v>
      </c>
      <c r="C257" s="21" t="s">
        <v>277</v>
      </c>
      <c r="D257" s="22">
        <v>25</v>
      </c>
      <c r="E257" s="22"/>
      <c r="F257" s="22"/>
      <c r="G257" s="22">
        <f t="shared" si="11"/>
        <v>25</v>
      </c>
      <c r="H257" s="24" t="e">
        <f>VLOOKUP(A257,#REF!,5,0)</f>
        <v>#REF!</v>
      </c>
      <c r="I257" s="25" t="e">
        <f>SUM(#REF!)</f>
        <v>#REF!</v>
      </c>
      <c r="J257" s="25" t="e">
        <f>SUMIF(#REF!,'MEDIÇÃO 39'!A257,#REF!)</f>
        <v>#REF!</v>
      </c>
      <c r="K257" s="25" t="e">
        <f t="shared" si="9"/>
        <v>#REF!</v>
      </c>
      <c r="L257" s="25" t="e">
        <f>G257-K257</f>
        <v>#REF!</v>
      </c>
      <c r="M257" s="24" t="e">
        <f>ROUND(I257*H257,2)</f>
        <v>#REF!</v>
      </c>
      <c r="N257" s="21" t="e">
        <f>ROUND(J257*H257,2)</f>
        <v>#REF!</v>
      </c>
      <c r="O257" s="26" t="e">
        <f t="shared" si="10"/>
        <v>#REF!</v>
      </c>
      <c r="P257" s="26" t="e">
        <f>ROUND((G257*H257)-O257,2)</f>
        <v>#REF!</v>
      </c>
      <c r="Q257" s="85">
        <f>IFERROR(ROUND(O257/(G257*H257),2),0)</f>
        <v>0</v>
      </c>
    </row>
    <row r="258" spans="1:17" ht="399.6" x14ac:dyDescent="1.05">
      <c r="A258" s="32">
        <v>3155</v>
      </c>
      <c r="B258" s="20" t="s">
        <v>244</v>
      </c>
      <c r="C258" s="21" t="s">
        <v>277</v>
      </c>
      <c r="D258" s="22">
        <v>50</v>
      </c>
      <c r="E258" s="22"/>
      <c r="F258" s="22"/>
      <c r="G258" s="22">
        <f t="shared" si="11"/>
        <v>50</v>
      </c>
      <c r="H258" s="24" t="e">
        <f>VLOOKUP(A258,#REF!,5,0)</f>
        <v>#REF!</v>
      </c>
      <c r="I258" s="25" t="e">
        <f>SUM(#REF!)</f>
        <v>#REF!</v>
      </c>
      <c r="J258" s="25" t="e">
        <f>SUMIF(#REF!,'MEDIÇÃO 39'!A258,#REF!)</f>
        <v>#REF!</v>
      </c>
      <c r="K258" s="25" t="e">
        <f t="shared" si="9"/>
        <v>#REF!</v>
      </c>
      <c r="L258" s="25" t="e">
        <f>G258-K258</f>
        <v>#REF!</v>
      </c>
      <c r="M258" s="24" t="e">
        <f>ROUND(I258*H258,2)</f>
        <v>#REF!</v>
      </c>
      <c r="N258" s="21" t="e">
        <f>ROUND(J258*H258,2)</f>
        <v>#REF!</v>
      </c>
      <c r="O258" s="26" t="e">
        <f t="shared" si="10"/>
        <v>#REF!</v>
      </c>
      <c r="P258" s="26" t="e">
        <f>ROUND((G258*H258)-O258,2)</f>
        <v>#REF!</v>
      </c>
      <c r="Q258" s="85">
        <f>IFERROR(ROUND(O258/(G258*H258),2),0)</f>
        <v>0</v>
      </c>
    </row>
    <row r="259" spans="1:17" ht="399.6" x14ac:dyDescent="1.05">
      <c r="A259" s="32">
        <v>3156</v>
      </c>
      <c r="B259" s="20" t="s">
        <v>245</v>
      </c>
      <c r="C259" s="21" t="s">
        <v>277</v>
      </c>
      <c r="D259" s="22">
        <v>25</v>
      </c>
      <c r="E259" s="22"/>
      <c r="F259" s="22"/>
      <c r="G259" s="22">
        <f t="shared" si="11"/>
        <v>25</v>
      </c>
      <c r="H259" s="24" t="e">
        <f>VLOOKUP(A259,#REF!,5,0)</f>
        <v>#REF!</v>
      </c>
      <c r="I259" s="25" t="e">
        <f>SUM(#REF!)</f>
        <v>#REF!</v>
      </c>
      <c r="J259" s="25" t="e">
        <f>SUMIF(#REF!,'MEDIÇÃO 39'!A259,#REF!)</f>
        <v>#REF!</v>
      </c>
      <c r="K259" s="25" t="e">
        <f t="shared" si="9"/>
        <v>#REF!</v>
      </c>
      <c r="L259" s="25" t="e">
        <f>G259-K259</f>
        <v>#REF!</v>
      </c>
      <c r="M259" s="24" t="e">
        <f>ROUND(I259*H259,2)</f>
        <v>#REF!</v>
      </c>
      <c r="N259" s="21" t="e">
        <f>ROUND(J259*H259,2)</f>
        <v>#REF!</v>
      </c>
      <c r="O259" s="26" t="e">
        <f t="shared" si="10"/>
        <v>#REF!</v>
      </c>
      <c r="P259" s="26" t="e">
        <f>ROUND((G259*H259)-O259,2)</f>
        <v>#REF!</v>
      </c>
      <c r="Q259" s="85">
        <f>IFERROR(ROUND(O259/(G259*H259),2),0)</f>
        <v>0</v>
      </c>
    </row>
    <row r="260" spans="1:17" ht="399.6" x14ac:dyDescent="1.05">
      <c r="A260" s="32">
        <v>3157</v>
      </c>
      <c r="B260" s="20" t="s">
        <v>246</v>
      </c>
      <c r="C260" s="21" t="s">
        <v>277</v>
      </c>
      <c r="D260" s="22">
        <v>12</v>
      </c>
      <c r="E260" s="22"/>
      <c r="F260" s="22"/>
      <c r="G260" s="22">
        <f t="shared" si="11"/>
        <v>12</v>
      </c>
      <c r="H260" s="24" t="e">
        <f>VLOOKUP(A260,#REF!,5,0)</f>
        <v>#REF!</v>
      </c>
      <c r="I260" s="25" t="e">
        <f>SUM(#REF!)</f>
        <v>#REF!</v>
      </c>
      <c r="J260" s="25" t="e">
        <f>SUMIF(#REF!,'MEDIÇÃO 39'!A260,#REF!)</f>
        <v>#REF!</v>
      </c>
      <c r="K260" s="25" t="e">
        <f t="shared" si="9"/>
        <v>#REF!</v>
      </c>
      <c r="L260" s="25" t="e">
        <f>G260-K260</f>
        <v>#REF!</v>
      </c>
      <c r="M260" s="24" t="e">
        <f>ROUND(I260*H260,2)</f>
        <v>#REF!</v>
      </c>
      <c r="N260" s="21" t="e">
        <f>ROUND(J260*H260,2)</f>
        <v>#REF!</v>
      </c>
      <c r="O260" s="26" t="e">
        <f t="shared" si="10"/>
        <v>#REF!</v>
      </c>
      <c r="P260" s="26" t="e">
        <f>ROUND((G260*H260)-O260,2)</f>
        <v>#REF!</v>
      </c>
      <c r="Q260" s="85">
        <f>IFERROR(ROUND(O260/(G260*H260),2),0)</f>
        <v>0</v>
      </c>
    </row>
    <row r="261" spans="1:17" ht="399.6" x14ac:dyDescent="1.05">
      <c r="A261" s="32">
        <v>3158</v>
      </c>
      <c r="B261" s="20" t="s">
        <v>247</v>
      </c>
      <c r="C261" s="21" t="s">
        <v>277</v>
      </c>
      <c r="D261" s="22">
        <v>12</v>
      </c>
      <c r="E261" s="22"/>
      <c r="F261" s="22"/>
      <c r="G261" s="22">
        <f t="shared" si="11"/>
        <v>12</v>
      </c>
      <c r="H261" s="24" t="e">
        <f>VLOOKUP(A261,#REF!,5,0)</f>
        <v>#REF!</v>
      </c>
      <c r="I261" s="25" t="e">
        <f>SUM(#REF!)</f>
        <v>#REF!</v>
      </c>
      <c r="J261" s="25" t="e">
        <f>SUMIF(#REF!,'MEDIÇÃO 39'!A261,#REF!)</f>
        <v>#REF!</v>
      </c>
      <c r="K261" s="25" t="e">
        <f t="shared" si="9"/>
        <v>#REF!</v>
      </c>
      <c r="L261" s="25" t="e">
        <f>G261-K261</f>
        <v>#REF!</v>
      </c>
      <c r="M261" s="24" t="e">
        <f>ROUND(I261*H261,2)</f>
        <v>#REF!</v>
      </c>
      <c r="N261" s="21" t="e">
        <f>ROUND(J261*H261,2)</f>
        <v>#REF!</v>
      </c>
      <c r="O261" s="26" t="e">
        <f t="shared" si="10"/>
        <v>#REF!</v>
      </c>
      <c r="P261" s="26" t="e">
        <f>ROUND((G261*H261)-O261,2)</f>
        <v>#REF!</v>
      </c>
      <c r="Q261" s="85">
        <f>IFERROR(ROUND(O261/(G261*H261),2),0)</f>
        <v>0</v>
      </c>
    </row>
    <row r="262" spans="1:17" ht="399.6" x14ac:dyDescent="1.05">
      <c r="A262" s="32">
        <v>3159</v>
      </c>
      <c r="B262" s="20" t="s">
        <v>248</v>
      </c>
      <c r="C262" s="21" t="s">
        <v>277</v>
      </c>
      <c r="D262" s="22">
        <v>12</v>
      </c>
      <c r="E262" s="22"/>
      <c r="F262" s="22"/>
      <c r="G262" s="22">
        <f t="shared" si="11"/>
        <v>12</v>
      </c>
      <c r="H262" s="24" t="e">
        <f>VLOOKUP(A262,#REF!,5,0)</f>
        <v>#REF!</v>
      </c>
      <c r="I262" s="25" t="e">
        <f>SUM(#REF!)</f>
        <v>#REF!</v>
      </c>
      <c r="J262" s="25" t="e">
        <f>SUMIF(#REF!,'MEDIÇÃO 39'!A262,#REF!)</f>
        <v>#REF!</v>
      </c>
      <c r="K262" s="25" t="e">
        <f t="shared" si="9"/>
        <v>#REF!</v>
      </c>
      <c r="L262" s="25" t="e">
        <f>G262-K262</f>
        <v>#REF!</v>
      </c>
      <c r="M262" s="24" t="e">
        <f>ROUND(I262*H262,2)</f>
        <v>#REF!</v>
      </c>
      <c r="N262" s="21" t="e">
        <f>ROUND(J262*H262,2)</f>
        <v>#REF!</v>
      </c>
      <c r="O262" s="26" t="e">
        <f t="shared" si="10"/>
        <v>#REF!</v>
      </c>
      <c r="P262" s="26" t="e">
        <f>ROUND((G262*H262)-O262,2)</f>
        <v>#REF!</v>
      </c>
      <c r="Q262" s="85">
        <f>IFERROR(ROUND(O262/(G262*H262),2),0)</f>
        <v>0</v>
      </c>
    </row>
    <row r="263" spans="1:17" ht="399.6" x14ac:dyDescent="1.05">
      <c r="A263" s="32">
        <v>3160</v>
      </c>
      <c r="B263" s="20" t="s">
        <v>249</v>
      </c>
      <c r="C263" s="21" t="s">
        <v>277</v>
      </c>
      <c r="D263" s="22">
        <v>2</v>
      </c>
      <c r="E263" s="22">
        <v>55</v>
      </c>
      <c r="F263" s="22"/>
      <c r="G263" s="22">
        <f t="shared" si="11"/>
        <v>57</v>
      </c>
      <c r="H263" s="24" t="e">
        <f>VLOOKUP(A263,#REF!,5,0)</f>
        <v>#REF!</v>
      </c>
      <c r="I263" s="25" t="e">
        <f>SUM(#REF!)</f>
        <v>#REF!</v>
      </c>
      <c r="J263" s="25" t="e">
        <f>SUMIF(#REF!,'MEDIÇÃO 39'!A263,#REF!)</f>
        <v>#REF!</v>
      </c>
      <c r="K263" s="25" t="e">
        <f t="shared" si="9"/>
        <v>#REF!</v>
      </c>
      <c r="L263" s="25" t="e">
        <f>G263-K263</f>
        <v>#REF!</v>
      </c>
      <c r="M263" s="24" t="e">
        <f>ROUND(I263*H263,2)</f>
        <v>#REF!</v>
      </c>
      <c r="N263" s="21" t="e">
        <f>ROUND(J263*H263,2)</f>
        <v>#REF!</v>
      </c>
      <c r="O263" s="26" t="e">
        <f t="shared" si="10"/>
        <v>#REF!</v>
      </c>
      <c r="P263" s="26" t="e">
        <f>ROUND((G263*H263)-O263,2)</f>
        <v>#REF!</v>
      </c>
      <c r="Q263" s="85">
        <f>IFERROR(ROUND(O263/(G263*H263),2),0)</f>
        <v>0</v>
      </c>
    </row>
    <row r="264" spans="1:17" ht="409.6" x14ac:dyDescent="1.05">
      <c r="A264" s="32">
        <v>3161</v>
      </c>
      <c r="B264" s="20" t="s">
        <v>250</v>
      </c>
      <c r="C264" s="21" t="s">
        <v>277</v>
      </c>
      <c r="D264" s="22">
        <v>50</v>
      </c>
      <c r="E264" s="22"/>
      <c r="F264" s="22"/>
      <c r="G264" s="22">
        <f t="shared" si="11"/>
        <v>50</v>
      </c>
      <c r="H264" s="24" t="e">
        <f>VLOOKUP(A264,#REF!,5,0)</f>
        <v>#REF!</v>
      </c>
      <c r="I264" s="25" t="e">
        <f>SUM(#REF!)</f>
        <v>#REF!</v>
      </c>
      <c r="J264" s="25" t="e">
        <f>SUMIF(#REF!,'MEDIÇÃO 39'!A264,#REF!)</f>
        <v>#REF!</v>
      </c>
      <c r="K264" s="25" t="e">
        <f t="shared" si="9"/>
        <v>#REF!</v>
      </c>
      <c r="L264" s="25" t="e">
        <f>G264-K264</f>
        <v>#REF!</v>
      </c>
      <c r="M264" s="24" t="e">
        <f>ROUND(I264*H264,2)</f>
        <v>#REF!</v>
      </c>
      <c r="N264" s="21" t="e">
        <f>ROUND(J264*H264,2)</f>
        <v>#REF!</v>
      </c>
      <c r="O264" s="26" t="e">
        <f t="shared" si="10"/>
        <v>#REF!</v>
      </c>
      <c r="P264" s="26" t="e">
        <f>ROUND((G264*H264)-O264,2)</f>
        <v>#REF!</v>
      </c>
      <c r="Q264" s="85">
        <f>IFERROR(ROUND(O264/(G264*H264),2),0)</f>
        <v>0</v>
      </c>
    </row>
    <row r="265" spans="1:17" ht="409.6" x14ac:dyDescent="1.05">
      <c r="A265" s="32">
        <v>3162</v>
      </c>
      <c r="B265" s="20" t="s">
        <v>251</v>
      </c>
      <c r="C265" s="21" t="s">
        <v>277</v>
      </c>
      <c r="D265" s="22">
        <v>25</v>
      </c>
      <c r="E265" s="22"/>
      <c r="F265" s="22"/>
      <c r="G265" s="22">
        <f t="shared" si="11"/>
        <v>25</v>
      </c>
      <c r="H265" s="24" t="e">
        <f>VLOOKUP(A265,#REF!,5,0)</f>
        <v>#REF!</v>
      </c>
      <c r="I265" s="25" t="e">
        <f>SUM(#REF!)</f>
        <v>#REF!</v>
      </c>
      <c r="J265" s="25" t="e">
        <f>SUMIF(#REF!,'MEDIÇÃO 39'!A265,#REF!)</f>
        <v>#REF!</v>
      </c>
      <c r="K265" s="25" t="e">
        <f t="shared" si="9"/>
        <v>#REF!</v>
      </c>
      <c r="L265" s="25" t="e">
        <f>G265-K265</f>
        <v>#REF!</v>
      </c>
      <c r="M265" s="24" t="e">
        <f>ROUND(I265*H265,2)</f>
        <v>#REF!</v>
      </c>
      <c r="N265" s="21" t="e">
        <f>ROUND(J265*H265,2)</f>
        <v>#REF!</v>
      </c>
      <c r="O265" s="26" t="e">
        <f t="shared" si="10"/>
        <v>#REF!</v>
      </c>
      <c r="P265" s="26" t="e">
        <f>ROUND((G265*H265)-O265,2)</f>
        <v>#REF!</v>
      </c>
      <c r="Q265" s="85">
        <f>IFERROR(ROUND(O265/(G265*H265),2),0)</f>
        <v>0</v>
      </c>
    </row>
    <row r="266" spans="1:17" ht="409.6" x14ac:dyDescent="1.05">
      <c r="A266" s="32">
        <v>3163</v>
      </c>
      <c r="B266" s="20" t="s">
        <v>252</v>
      </c>
      <c r="C266" s="21" t="s">
        <v>277</v>
      </c>
      <c r="D266" s="22">
        <v>2</v>
      </c>
      <c r="E266" s="22"/>
      <c r="F266" s="22"/>
      <c r="G266" s="22">
        <f t="shared" si="11"/>
        <v>2</v>
      </c>
      <c r="H266" s="24" t="e">
        <f>VLOOKUP(A266,#REF!,5,0)</f>
        <v>#REF!</v>
      </c>
      <c r="I266" s="25" t="e">
        <f>SUM(#REF!)</f>
        <v>#REF!</v>
      </c>
      <c r="J266" s="25" t="e">
        <f>SUMIF(#REF!,'MEDIÇÃO 39'!A266,#REF!)</f>
        <v>#REF!</v>
      </c>
      <c r="K266" s="25" t="e">
        <f t="shared" si="9"/>
        <v>#REF!</v>
      </c>
      <c r="L266" s="25" t="e">
        <f>G266-K266</f>
        <v>#REF!</v>
      </c>
      <c r="M266" s="24" t="e">
        <f>ROUND(I266*H266,2)</f>
        <v>#REF!</v>
      </c>
      <c r="N266" s="21" t="e">
        <f>ROUND(J266*H266,2)</f>
        <v>#REF!</v>
      </c>
      <c r="O266" s="26" t="e">
        <f t="shared" si="10"/>
        <v>#REF!</v>
      </c>
      <c r="P266" s="26" t="e">
        <f>ROUND((G266*H266)-O266,2)</f>
        <v>#REF!</v>
      </c>
      <c r="Q266" s="85">
        <f>IFERROR(ROUND(O266/(G266*H266),2),0)</f>
        <v>0</v>
      </c>
    </row>
    <row r="267" spans="1:17" ht="409.6" x14ac:dyDescent="1.05">
      <c r="A267" s="32">
        <v>3164</v>
      </c>
      <c r="B267" s="20" t="s">
        <v>253</v>
      </c>
      <c r="C267" s="21" t="s">
        <v>277</v>
      </c>
      <c r="D267" s="22">
        <v>5</v>
      </c>
      <c r="E267" s="22"/>
      <c r="F267" s="22"/>
      <c r="G267" s="22">
        <f t="shared" si="11"/>
        <v>5</v>
      </c>
      <c r="H267" s="24" t="e">
        <f>VLOOKUP(A267,#REF!,5,0)</f>
        <v>#REF!</v>
      </c>
      <c r="I267" s="25" t="e">
        <f>SUM(#REF!)</f>
        <v>#REF!</v>
      </c>
      <c r="J267" s="25" t="e">
        <f>SUMIF(#REF!,'MEDIÇÃO 39'!A267,#REF!)</f>
        <v>#REF!</v>
      </c>
      <c r="K267" s="25" t="e">
        <f t="shared" si="9"/>
        <v>#REF!</v>
      </c>
      <c r="L267" s="25" t="e">
        <f>G267-K267</f>
        <v>#REF!</v>
      </c>
      <c r="M267" s="24" t="e">
        <f>ROUND(I267*H267,2)</f>
        <v>#REF!</v>
      </c>
      <c r="N267" s="21" t="e">
        <f>ROUND(J267*H267,2)</f>
        <v>#REF!</v>
      </c>
      <c r="O267" s="26" t="e">
        <f t="shared" si="10"/>
        <v>#REF!</v>
      </c>
      <c r="P267" s="26" t="e">
        <f>ROUND((G267*H267)-O267,2)</f>
        <v>#REF!</v>
      </c>
      <c r="Q267" s="85">
        <f>IFERROR(ROUND(O267/(G267*H267),2),0)</f>
        <v>0</v>
      </c>
    </row>
    <row r="268" spans="1:17" ht="409.6" x14ac:dyDescent="1.05">
      <c r="A268" s="32">
        <v>3165</v>
      </c>
      <c r="B268" s="20" t="s">
        <v>254</v>
      </c>
      <c r="C268" s="21" t="s">
        <v>277</v>
      </c>
      <c r="D268" s="22">
        <v>2</v>
      </c>
      <c r="E268" s="22"/>
      <c r="F268" s="22"/>
      <c r="G268" s="22">
        <f t="shared" si="11"/>
        <v>2</v>
      </c>
      <c r="H268" s="24" t="e">
        <f>VLOOKUP(A268,#REF!,5,0)</f>
        <v>#REF!</v>
      </c>
      <c r="I268" s="25" t="e">
        <f>SUM(#REF!)</f>
        <v>#REF!</v>
      </c>
      <c r="J268" s="25" t="e">
        <f>SUMIF(#REF!,'MEDIÇÃO 39'!A268,#REF!)</f>
        <v>#REF!</v>
      </c>
      <c r="K268" s="25" t="e">
        <f t="shared" si="9"/>
        <v>#REF!</v>
      </c>
      <c r="L268" s="25" t="e">
        <f>G268-K268</f>
        <v>#REF!</v>
      </c>
      <c r="M268" s="24" t="e">
        <f>ROUND(I268*H268,2)</f>
        <v>#REF!</v>
      </c>
      <c r="N268" s="21" t="e">
        <f>ROUND(J268*H268,2)</f>
        <v>#REF!</v>
      </c>
      <c r="O268" s="26" t="e">
        <f t="shared" si="10"/>
        <v>#REF!</v>
      </c>
      <c r="P268" s="26" t="e">
        <f>ROUND((G268*H268)-O268,2)</f>
        <v>#REF!</v>
      </c>
      <c r="Q268" s="85">
        <f>IFERROR(ROUND(O268/(G268*H268),2),0)</f>
        <v>0</v>
      </c>
    </row>
    <row r="269" spans="1:17" ht="409.6" x14ac:dyDescent="1.05">
      <c r="A269" s="32">
        <v>3166</v>
      </c>
      <c r="B269" s="20" t="s">
        <v>255</v>
      </c>
      <c r="C269" s="21" t="s">
        <v>277</v>
      </c>
      <c r="D269" s="22">
        <v>2</v>
      </c>
      <c r="E269" s="22"/>
      <c r="F269" s="22"/>
      <c r="G269" s="22">
        <f t="shared" si="11"/>
        <v>2</v>
      </c>
      <c r="H269" s="24" t="e">
        <f>VLOOKUP(A269,#REF!,5,0)</f>
        <v>#REF!</v>
      </c>
      <c r="I269" s="25" t="e">
        <f>SUM(#REF!)</f>
        <v>#REF!</v>
      </c>
      <c r="J269" s="25" t="e">
        <f>SUMIF(#REF!,'MEDIÇÃO 39'!A269,#REF!)</f>
        <v>#REF!</v>
      </c>
      <c r="K269" s="25" t="e">
        <f t="shared" si="9"/>
        <v>#REF!</v>
      </c>
      <c r="L269" s="25" t="e">
        <f>G269-K269</f>
        <v>#REF!</v>
      </c>
      <c r="M269" s="24" t="e">
        <f>ROUND(I269*H269,2)</f>
        <v>#REF!</v>
      </c>
      <c r="N269" s="21" t="e">
        <f>ROUND(J269*H269,2)</f>
        <v>#REF!</v>
      </c>
      <c r="O269" s="26" t="e">
        <f t="shared" si="10"/>
        <v>#REF!</v>
      </c>
      <c r="P269" s="26" t="e">
        <f>ROUND((G269*H269)-O269,2)</f>
        <v>#REF!</v>
      </c>
      <c r="Q269" s="85">
        <f>IFERROR(ROUND(O269/(G269*H269),2),0)</f>
        <v>0</v>
      </c>
    </row>
    <row r="270" spans="1:17" ht="266.39999999999998" x14ac:dyDescent="1.05">
      <c r="A270" s="32">
        <v>3167</v>
      </c>
      <c r="B270" s="20" t="s">
        <v>256</v>
      </c>
      <c r="C270" s="21" t="s">
        <v>277</v>
      </c>
      <c r="D270" s="22">
        <v>90</v>
      </c>
      <c r="E270" s="22"/>
      <c r="F270" s="22"/>
      <c r="G270" s="22">
        <f t="shared" si="11"/>
        <v>90</v>
      </c>
      <c r="H270" s="24" t="e">
        <f>VLOOKUP(A270,#REF!,5,0)</f>
        <v>#REF!</v>
      </c>
      <c r="I270" s="25" t="e">
        <f>SUM(#REF!)</f>
        <v>#REF!</v>
      </c>
      <c r="J270" s="25" t="e">
        <f>SUMIF(#REF!,'MEDIÇÃO 39'!A270,#REF!)</f>
        <v>#REF!</v>
      </c>
      <c r="K270" s="25" t="e">
        <f t="shared" si="9"/>
        <v>#REF!</v>
      </c>
      <c r="L270" s="25" t="e">
        <f>G270-K270</f>
        <v>#REF!</v>
      </c>
      <c r="M270" s="24" t="e">
        <f>ROUND(I270*H270,2)</f>
        <v>#REF!</v>
      </c>
      <c r="N270" s="21" t="e">
        <f>ROUND(J270*H270,2)</f>
        <v>#REF!</v>
      </c>
      <c r="O270" s="26" t="e">
        <f t="shared" si="10"/>
        <v>#REF!</v>
      </c>
      <c r="P270" s="26" t="e">
        <f>ROUND((G270*H270)-O270,2)</f>
        <v>#REF!</v>
      </c>
      <c r="Q270" s="85">
        <f>IFERROR(ROUND(O270/(G270*H270),2),0)</f>
        <v>0</v>
      </c>
    </row>
    <row r="271" spans="1:17" ht="266.39999999999998" x14ac:dyDescent="1.05">
      <c r="A271" s="32">
        <v>3168</v>
      </c>
      <c r="B271" s="20" t="s">
        <v>257</v>
      </c>
      <c r="C271" s="21" t="s">
        <v>277</v>
      </c>
      <c r="D271" s="22">
        <v>50</v>
      </c>
      <c r="E271" s="22"/>
      <c r="F271" s="22"/>
      <c r="G271" s="22">
        <f t="shared" si="11"/>
        <v>50</v>
      </c>
      <c r="H271" s="24" t="e">
        <f>VLOOKUP(A271,#REF!,5,0)</f>
        <v>#REF!</v>
      </c>
      <c r="I271" s="25" t="e">
        <f>SUM(#REF!)</f>
        <v>#REF!</v>
      </c>
      <c r="J271" s="25" t="e">
        <f>SUMIF(#REF!,'MEDIÇÃO 39'!A271,#REF!)</f>
        <v>#REF!</v>
      </c>
      <c r="K271" s="25" t="e">
        <f t="shared" si="9"/>
        <v>#REF!</v>
      </c>
      <c r="L271" s="25" t="e">
        <f>G271-K271</f>
        <v>#REF!</v>
      </c>
      <c r="M271" s="24" t="e">
        <f>ROUND(I271*H271,2)</f>
        <v>#REF!</v>
      </c>
      <c r="N271" s="21" t="e">
        <f>ROUND(J271*H271,2)</f>
        <v>#REF!</v>
      </c>
      <c r="O271" s="26" t="e">
        <f t="shared" si="10"/>
        <v>#REF!</v>
      </c>
      <c r="P271" s="26" t="e">
        <f>ROUND((G271*H271)-O271,2)</f>
        <v>#REF!</v>
      </c>
      <c r="Q271" s="85">
        <f>IFERROR(ROUND(O271/(G271*H271),2),0)</f>
        <v>0</v>
      </c>
    </row>
    <row r="272" spans="1:17" ht="266.39999999999998" x14ac:dyDescent="1.05">
      <c r="A272" s="32">
        <v>3169</v>
      </c>
      <c r="B272" s="20" t="s">
        <v>258</v>
      </c>
      <c r="C272" s="21" t="s">
        <v>277</v>
      </c>
      <c r="D272" s="22">
        <v>22</v>
      </c>
      <c r="E272" s="22"/>
      <c r="F272" s="22"/>
      <c r="G272" s="22">
        <f t="shared" si="11"/>
        <v>22</v>
      </c>
      <c r="H272" s="24" t="e">
        <f>VLOOKUP(A272,#REF!,5,0)</f>
        <v>#REF!</v>
      </c>
      <c r="I272" s="25" t="e">
        <f>SUM(#REF!)</f>
        <v>#REF!</v>
      </c>
      <c r="J272" s="25" t="e">
        <f>SUMIF(#REF!,'MEDIÇÃO 39'!A272,#REF!)</f>
        <v>#REF!</v>
      </c>
      <c r="K272" s="25" t="e">
        <f t="shared" ref="K272:K288" si="12">I272+J272</f>
        <v>#REF!</v>
      </c>
      <c r="L272" s="25" t="e">
        <f>G272-K272</f>
        <v>#REF!</v>
      </c>
      <c r="M272" s="24" t="e">
        <f>ROUND(I272*H272,2)</f>
        <v>#REF!</v>
      </c>
      <c r="N272" s="21" t="e">
        <f>ROUND(J272*H272,2)</f>
        <v>#REF!</v>
      </c>
      <c r="O272" s="26" t="e">
        <f t="shared" ref="O272:O288" si="13">ROUND(M272+N272,2)</f>
        <v>#REF!</v>
      </c>
      <c r="P272" s="26" t="e">
        <f>ROUND((G272*H272)-O272,2)</f>
        <v>#REF!</v>
      </c>
      <c r="Q272" s="85">
        <f>IFERROR(ROUND(O272/(G272*H272),2),0)</f>
        <v>0</v>
      </c>
    </row>
    <row r="273" spans="1:17" ht="266.39999999999998" x14ac:dyDescent="1.05">
      <c r="A273" s="32">
        <v>3170</v>
      </c>
      <c r="B273" s="20" t="s">
        <v>259</v>
      </c>
      <c r="C273" s="21" t="s">
        <v>277</v>
      </c>
      <c r="D273" s="22">
        <v>1000</v>
      </c>
      <c r="E273" s="22"/>
      <c r="F273" s="22"/>
      <c r="G273" s="22">
        <f t="shared" ref="G273:G291" si="14">SUM(D273:F273)</f>
        <v>1000</v>
      </c>
      <c r="H273" s="24" t="e">
        <f>VLOOKUP(A273,#REF!,5,0)</f>
        <v>#REF!</v>
      </c>
      <c r="I273" s="25" t="e">
        <f>SUM(#REF!)</f>
        <v>#REF!</v>
      </c>
      <c r="J273" s="25" t="e">
        <f>SUMIF(#REF!,'MEDIÇÃO 39'!A273,#REF!)</f>
        <v>#REF!</v>
      </c>
      <c r="K273" s="25" t="e">
        <f t="shared" si="12"/>
        <v>#REF!</v>
      </c>
      <c r="L273" s="25" t="e">
        <f>G273-K273</f>
        <v>#REF!</v>
      </c>
      <c r="M273" s="24" t="e">
        <f>ROUND(I273*H273,2)</f>
        <v>#REF!</v>
      </c>
      <c r="N273" s="21" t="e">
        <f>ROUND(J273*H273,2)</f>
        <v>#REF!</v>
      </c>
      <c r="O273" s="26" t="e">
        <f t="shared" si="13"/>
        <v>#REF!</v>
      </c>
      <c r="P273" s="26" t="e">
        <f>ROUND((G273*H273)-O273,2)</f>
        <v>#REF!</v>
      </c>
      <c r="Q273" s="85">
        <f>IFERROR(ROUND(O273/(G273*H273),2),0)</f>
        <v>0</v>
      </c>
    </row>
    <row r="274" spans="1:17" ht="199.8" x14ac:dyDescent="1.05">
      <c r="A274" s="32">
        <v>3171</v>
      </c>
      <c r="B274" s="20" t="s">
        <v>260</v>
      </c>
      <c r="C274" s="21" t="s">
        <v>277</v>
      </c>
      <c r="D274" s="22">
        <v>25</v>
      </c>
      <c r="E274" s="22"/>
      <c r="F274" s="22"/>
      <c r="G274" s="22">
        <f t="shared" si="14"/>
        <v>25</v>
      </c>
      <c r="H274" s="24" t="e">
        <f>VLOOKUP(A274,#REF!,5,0)</f>
        <v>#REF!</v>
      </c>
      <c r="I274" s="25" t="e">
        <f>SUM(#REF!)</f>
        <v>#REF!</v>
      </c>
      <c r="J274" s="25" t="e">
        <f>SUMIF(#REF!,'MEDIÇÃO 39'!A274,#REF!)</f>
        <v>#REF!</v>
      </c>
      <c r="K274" s="25" t="e">
        <f t="shared" si="12"/>
        <v>#REF!</v>
      </c>
      <c r="L274" s="25" t="e">
        <f>G274-K274</f>
        <v>#REF!</v>
      </c>
      <c r="M274" s="24" t="e">
        <f>ROUND(I274*H274,2)</f>
        <v>#REF!</v>
      </c>
      <c r="N274" s="21" t="e">
        <f>ROUND(J274*H274,2)</f>
        <v>#REF!</v>
      </c>
      <c r="O274" s="26" t="e">
        <f t="shared" si="13"/>
        <v>#REF!</v>
      </c>
      <c r="P274" s="26" t="e">
        <f>ROUND((G274*H274)-O274,2)</f>
        <v>#REF!</v>
      </c>
      <c r="Q274" s="85">
        <f>IFERROR(ROUND(O274/(G274*H274),2),0)</f>
        <v>0</v>
      </c>
    </row>
    <row r="275" spans="1:17" ht="199.8" x14ac:dyDescent="1.05">
      <c r="A275" s="32">
        <v>3172</v>
      </c>
      <c r="B275" s="20" t="s">
        <v>261</v>
      </c>
      <c r="C275" s="21" t="s">
        <v>277</v>
      </c>
      <c r="D275" s="22">
        <v>10</v>
      </c>
      <c r="E275" s="22"/>
      <c r="F275" s="22"/>
      <c r="G275" s="22">
        <f t="shared" si="14"/>
        <v>10</v>
      </c>
      <c r="H275" s="24" t="e">
        <f>VLOOKUP(A275,#REF!,5,0)</f>
        <v>#REF!</v>
      </c>
      <c r="I275" s="25" t="e">
        <f>SUM(#REF!)</f>
        <v>#REF!</v>
      </c>
      <c r="J275" s="25" t="e">
        <f>SUMIF(#REF!,'MEDIÇÃO 39'!A275,#REF!)</f>
        <v>#REF!</v>
      </c>
      <c r="K275" s="25" t="e">
        <f t="shared" si="12"/>
        <v>#REF!</v>
      </c>
      <c r="L275" s="25" t="e">
        <f>G275-K275</f>
        <v>#REF!</v>
      </c>
      <c r="M275" s="24" t="e">
        <f>ROUND(I275*H275,2)</f>
        <v>#REF!</v>
      </c>
      <c r="N275" s="21" t="e">
        <f>ROUND(J275*H275,2)</f>
        <v>#REF!</v>
      </c>
      <c r="O275" s="26" t="e">
        <f t="shared" si="13"/>
        <v>#REF!</v>
      </c>
      <c r="P275" s="26" t="e">
        <f>ROUND((G275*H275)-O275,2)</f>
        <v>#REF!</v>
      </c>
      <c r="Q275" s="85">
        <f>IFERROR(ROUND(O275/(G275*H275),2),0)</f>
        <v>0</v>
      </c>
    </row>
    <row r="276" spans="1:17" ht="199.8" x14ac:dyDescent="1.05">
      <c r="A276" s="32">
        <v>3173</v>
      </c>
      <c r="B276" s="20" t="s">
        <v>262</v>
      </c>
      <c r="C276" s="21" t="s">
        <v>277</v>
      </c>
      <c r="D276" s="22">
        <v>6</v>
      </c>
      <c r="E276" s="22"/>
      <c r="F276" s="22"/>
      <c r="G276" s="22">
        <f t="shared" si="14"/>
        <v>6</v>
      </c>
      <c r="H276" s="24" t="e">
        <f>VLOOKUP(A276,#REF!,5,0)</f>
        <v>#REF!</v>
      </c>
      <c r="I276" s="25" t="e">
        <f>SUM(#REF!)</f>
        <v>#REF!</v>
      </c>
      <c r="J276" s="25" t="e">
        <f>SUMIF(#REF!,'MEDIÇÃO 39'!A276,#REF!)</f>
        <v>#REF!</v>
      </c>
      <c r="K276" s="25" t="e">
        <f t="shared" si="12"/>
        <v>#REF!</v>
      </c>
      <c r="L276" s="25" t="e">
        <f>G276-K276</f>
        <v>#REF!</v>
      </c>
      <c r="M276" s="24" t="e">
        <f>ROUND(I276*H276,2)</f>
        <v>#REF!</v>
      </c>
      <c r="N276" s="21" t="e">
        <f>ROUND(J276*H276,2)</f>
        <v>#REF!</v>
      </c>
      <c r="O276" s="26" t="e">
        <f t="shared" si="13"/>
        <v>#REF!</v>
      </c>
      <c r="P276" s="26" t="e">
        <f>ROUND((G276*H276)-O276,2)</f>
        <v>#REF!</v>
      </c>
      <c r="Q276" s="85">
        <f>IFERROR(ROUND(O276/(G276*H276),2),0)</f>
        <v>0</v>
      </c>
    </row>
    <row r="277" spans="1:17" ht="199.8" x14ac:dyDescent="1.05">
      <c r="A277" s="32">
        <v>3174</v>
      </c>
      <c r="B277" s="20" t="s">
        <v>263</v>
      </c>
      <c r="C277" s="21" t="s">
        <v>277</v>
      </c>
      <c r="D277" s="22">
        <v>6</v>
      </c>
      <c r="E277" s="22"/>
      <c r="F277" s="22"/>
      <c r="G277" s="22">
        <f t="shared" si="14"/>
        <v>6</v>
      </c>
      <c r="H277" s="24" t="e">
        <f>VLOOKUP(A277,#REF!,5,0)</f>
        <v>#REF!</v>
      </c>
      <c r="I277" s="25" t="e">
        <f>SUM(#REF!)</f>
        <v>#REF!</v>
      </c>
      <c r="J277" s="25" t="e">
        <f>SUMIF(#REF!,'MEDIÇÃO 39'!A277,#REF!)</f>
        <v>#REF!</v>
      </c>
      <c r="K277" s="25" t="e">
        <f t="shared" si="12"/>
        <v>#REF!</v>
      </c>
      <c r="L277" s="25" t="e">
        <f>G277-K277</f>
        <v>#REF!</v>
      </c>
      <c r="M277" s="24" t="e">
        <f>ROUND(I277*H277,2)</f>
        <v>#REF!</v>
      </c>
      <c r="N277" s="21" t="e">
        <f>ROUND(J277*H277,2)</f>
        <v>#REF!</v>
      </c>
      <c r="O277" s="26" t="e">
        <f t="shared" si="13"/>
        <v>#REF!</v>
      </c>
      <c r="P277" s="26" t="e">
        <f>ROUND((G277*H277)-O277,2)</f>
        <v>#REF!</v>
      </c>
      <c r="Q277" s="85">
        <f>IFERROR(ROUND(O277/(G277*H277),2),0)</f>
        <v>0</v>
      </c>
    </row>
    <row r="278" spans="1:17" ht="266.39999999999998" x14ac:dyDescent="1.05">
      <c r="A278" s="32">
        <v>3175</v>
      </c>
      <c r="B278" s="20" t="s">
        <v>264</v>
      </c>
      <c r="C278" s="21" t="s">
        <v>277</v>
      </c>
      <c r="D278" s="22">
        <v>2</v>
      </c>
      <c r="E278" s="22"/>
      <c r="F278" s="22"/>
      <c r="G278" s="22">
        <f t="shared" si="14"/>
        <v>2</v>
      </c>
      <c r="H278" s="24" t="e">
        <f>VLOOKUP(A278,#REF!,5,0)</f>
        <v>#REF!</v>
      </c>
      <c r="I278" s="25" t="e">
        <f>SUM(#REF!)</f>
        <v>#REF!</v>
      </c>
      <c r="J278" s="25" t="e">
        <f>SUMIF(#REF!,'MEDIÇÃO 39'!A278,#REF!)</f>
        <v>#REF!</v>
      </c>
      <c r="K278" s="25" t="e">
        <f t="shared" si="12"/>
        <v>#REF!</v>
      </c>
      <c r="L278" s="25" t="e">
        <f>G278-K278</f>
        <v>#REF!</v>
      </c>
      <c r="M278" s="24" t="e">
        <f>ROUND(I278*H278,2)</f>
        <v>#REF!</v>
      </c>
      <c r="N278" s="21" t="e">
        <f>ROUND(J278*H278,2)</f>
        <v>#REF!</v>
      </c>
      <c r="O278" s="26" t="e">
        <f t="shared" si="13"/>
        <v>#REF!</v>
      </c>
      <c r="P278" s="26" t="e">
        <f>ROUND((G278*H278)-O278,2)</f>
        <v>#REF!</v>
      </c>
      <c r="Q278" s="85">
        <f>IFERROR(ROUND(O278/(G278*H278),2),0)</f>
        <v>0</v>
      </c>
    </row>
    <row r="279" spans="1:17" ht="199.8" x14ac:dyDescent="1.05">
      <c r="A279" s="32">
        <v>3176</v>
      </c>
      <c r="B279" s="20" t="s">
        <v>265</v>
      </c>
      <c r="C279" s="21" t="s">
        <v>277</v>
      </c>
      <c r="D279" s="22">
        <v>25</v>
      </c>
      <c r="E279" s="22"/>
      <c r="F279" s="22"/>
      <c r="G279" s="22">
        <f t="shared" si="14"/>
        <v>25</v>
      </c>
      <c r="H279" s="24" t="e">
        <f>VLOOKUP(A279,#REF!,5,0)</f>
        <v>#REF!</v>
      </c>
      <c r="I279" s="25" t="e">
        <f>SUM(#REF!)</f>
        <v>#REF!</v>
      </c>
      <c r="J279" s="25" t="e">
        <f>SUMIF(#REF!,'MEDIÇÃO 39'!A279,#REF!)</f>
        <v>#REF!</v>
      </c>
      <c r="K279" s="25" t="e">
        <f t="shared" si="12"/>
        <v>#REF!</v>
      </c>
      <c r="L279" s="25" t="e">
        <f>G279-K279</f>
        <v>#REF!</v>
      </c>
      <c r="M279" s="24" t="e">
        <f>ROUND(I279*H279,2)</f>
        <v>#REF!</v>
      </c>
      <c r="N279" s="21" t="e">
        <f>ROUND(J279*H279,2)</f>
        <v>#REF!</v>
      </c>
      <c r="O279" s="26" t="e">
        <f t="shared" si="13"/>
        <v>#REF!</v>
      </c>
      <c r="P279" s="26" t="e">
        <f>ROUND((G279*H279)-O279,2)</f>
        <v>#REF!</v>
      </c>
      <c r="Q279" s="85">
        <f>IFERROR(ROUND(O279/(G279*H279),2),0)</f>
        <v>0</v>
      </c>
    </row>
    <row r="280" spans="1:17" ht="266.39999999999998" x14ac:dyDescent="1.05">
      <c r="A280" s="32">
        <v>3177</v>
      </c>
      <c r="B280" s="20" t="s">
        <v>266</v>
      </c>
      <c r="C280" s="21" t="s">
        <v>277</v>
      </c>
      <c r="D280" s="22">
        <v>2</v>
      </c>
      <c r="E280" s="22"/>
      <c r="F280" s="22"/>
      <c r="G280" s="22">
        <f t="shared" si="14"/>
        <v>2</v>
      </c>
      <c r="H280" s="24" t="e">
        <f>VLOOKUP(A280,#REF!,5,0)</f>
        <v>#REF!</v>
      </c>
      <c r="I280" s="25" t="e">
        <f>SUM(#REF!)</f>
        <v>#REF!</v>
      </c>
      <c r="J280" s="25" t="e">
        <f>SUMIF(#REF!,'MEDIÇÃO 39'!A280,#REF!)</f>
        <v>#REF!</v>
      </c>
      <c r="K280" s="25" t="e">
        <f t="shared" si="12"/>
        <v>#REF!</v>
      </c>
      <c r="L280" s="25" t="e">
        <f>G280-K280</f>
        <v>#REF!</v>
      </c>
      <c r="M280" s="24" t="e">
        <f>ROUND(I280*H280,2)</f>
        <v>#REF!</v>
      </c>
      <c r="N280" s="21" t="e">
        <f>ROUND(J280*H280,2)</f>
        <v>#REF!</v>
      </c>
      <c r="O280" s="26" t="e">
        <f t="shared" si="13"/>
        <v>#REF!</v>
      </c>
      <c r="P280" s="26" t="e">
        <f>ROUND((G280*H280)-O280,2)</f>
        <v>#REF!</v>
      </c>
      <c r="Q280" s="85">
        <f>IFERROR(ROUND(O280/(G280*H280),2),0)</f>
        <v>0</v>
      </c>
    </row>
    <row r="281" spans="1:17" ht="266.39999999999998" x14ac:dyDescent="1.05">
      <c r="A281" s="32">
        <v>3178</v>
      </c>
      <c r="B281" s="20" t="s">
        <v>267</v>
      </c>
      <c r="C281" s="21" t="s">
        <v>277</v>
      </c>
      <c r="D281" s="22">
        <v>10</v>
      </c>
      <c r="E281" s="22"/>
      <c r="F281" s="22"/>
      <c r="G281" s="22">
        <f t="shared" si="14"/>
        <v>10</v>
      </c>
      <c r="H281" s="24" t="e">
        <f>VLOOKUP(A281,#REF!,5,0)</f>
        <v>#REF!</v>
      </c>
      <c r="I281" s="25" t="e">
        <f>SUM(#REF!)</f>
        <v>#REF!</v>
      </c>
      <c r="J281" s="25" t="e">
        <f>SUMIF(#REF!,'MEDIÇÃO 39'!A281,#REF!)</f>
        <v>#REF!</v>
      </c>
      <c r="K281" s="25" t="e">
        <f t="shared" si="12"/>
        <v>#REF!</v>
      </c>
      <c r="L281" s="25" t="e">
        <f>G281-K281</f>
        <v>#REF!</v>
      </c>
      <c r="M281" s="24" t="e">
        <f>ROUND(I281*H281,2)</f>
        <v>#REF!</v>
      </c>
      <c r="N281" s="21" t="e">
        <f>ROUND(J281*H281,2)</f>
        <v>#REF!</v>
      </c>
      <c r="O281" s="26" t="e">
        <f t="shared" si="13"/>
        <v>#REF!</v>
      </c>
      <c r="P281" s="26" t="e">
        <f>ROUND((G281*H281)-O281,2)</f>
        <v>#REF!</v>
      </c>
      <c r="Q281" s="85">
        <f>IFERROR(ROUND(O281/(G281*H281),2),0)</f>
        <v>0</v>
      </c>
    </row>
    <row r="282" spans="1:17" ht="266.39999999999998" x14ac:dyDescent="1.05">
      <c r="A282" s="32">
        <v>3179</v>
      </c>
      <c r="B282" s="20" t="s">
        <v>268</v>
      </c>
      <c r="C282" s="21" t="s">
        <v>277</v>
      </c>
      <c r="D282" s="22">
        <v>5</v>
      </c>
      <c r="E282" s="22"/>
      <c r="F282" s="22"/>
      <c r="G282" s="22">
        <f t="shared" si="14"/>
        <v>5</v>
      </c>
      <c r="H282" s="24" t="e">
        <f>VLOOKUP(A282,#REF!,5,0)</f>
        <v>#REF!</v>
      </c>
      <c r="I282" s="25" t="e">
        <f>SUM(#REF!)</f>
        <v>#REF!</v>
      </c>
      <c r="J282" s="25" t="e">
        <f>SUMIF(#REF!,'MEDIÇÃO 39'!A282,#REF!)</f>
        <v>#REF!</v>
      </c>
      <c r="K282" s="25" t="e">
        <f t="shared" si="12"/>
        <v>#REF!</v>
      </c>
      <c r="L282" s="25" t="e">
        <f>G282-K282</f>
        <v>#REF!</v>
      </c>
      <c r="M282" s="24" t="e">
        <f>ROUND(I282*H282,2)</f>
        <v>#REF!</v>
      </c>
      <c r="N282" s="21" t="e">
        <f>ROUND(J282*H282,2)</f>
        <v>#REF!</v>
      </c>
      <c r="O282" s="26" t="e">
        <f t="shared" si="13"/>
        <v>#REF!</v>
      </c>
      <c r="P282" s="26" t="e">
        <f>ROUND((G282*H282)-O282,2)</f>
        <v>#REF!</v>
      </c>
      <c r="Q282" s="85">
        <f>IFERROR(ROUND(O282/(G282*H282),2),0)</f>
        <v>0</v>
      </c>
    </row>
    <row r="283" spans="1:17" ht="409.6" x14ac:dyDescent="1.05">
      <c r="A283" s="32">
        <v>3180</v>
      </c>
      <c r="B283" s="20" t="s">
        <v>269</v>
      </c>
      <c r="C283" s="21" t="s">
        <v>277</v>
      </c>
      <c r="D283" s="22">
        <v>4148</v>
      </c>
      <c r="E283" s="22"/>
      <c r="F283" s="22"/>
      <c r="G283" s="22">
        <f t="shared" si="14"/>
        <v>4148</v>
      </c>
      <c r="H283" s="24" t="e">
        <f>VLOOKUP(A283,#REF!,5,0)</f>
        <v>#REF!</v>
      </c>
      <c r="I283" s="25" t="e">
        <f>SUM(#REF!)</f>
        <v>#REF!</v>
      </c>
      <c r="J283" s="25" t="e">
        <f>SUMIF(#REF!,'MEDIÇÃO 39'!A283,#REF!)</f>
        <v>#REF!</v>
      </c>
      <c r="K283" s="25" t="e">
        <f t="shared" si="12"/>
        <v>#REF!</v>
      </c>
      <c r="L283" s="25" t="e">
        <f>G283-K283</f>
        <v>#REF!</v>
      </c>
      <c r="M283" s="24" t="e">
        <f>ROUND(I283*H283,2)</f>
        <v>#REF!</v>
      </c>
      <c r="N283" s="21" t="e">
        <f>ROUND(J283*H283,2)</f>
        <v>#REF!</v>
      </c>
      <c r="O283" s="26" t="e">
        <f t="shared" si="13"/>
        <v>#REF!</v>
      </c>
      <c r="P283" s="26" t="e">
        <f>ROUND((G283*H283)-O283,2)</f>
        <v>#REF!</v>
      </c>
      <c r="Q283" s="85">
        <f>IFERROR(ROUND(O283/(G283*H283),2),0)</f>
        <v>0</v>
      </c>
    </row>
    <row r="284" spans="1:17" ht="133.19999999999999" x14ac:dyDescent="1.05">
      <c r="A284" s="32">
        <v>3181</v>
      </c>
      <c r="B284" s="20" t="s">
        <v>270</v>
      </c>
      <c r="C284" s="21" t="s">
        <v>277</v>
      </c>
      <c r="D284" s="22">
        <v>5</v>
      </c>
      <c r="E284" s="22"/>
      <c r="F284" s="22"/>
      <c r="G284" s="22">
        <f t="shared" si="14"/>
        <v>5</v>
      </c>
      <c r="H284" s="24" t="e">
        <f>VLOOKUP(A284,#REF!,5,0)</f>
        <v>#REF!</v>
      </c>
      <c r="I284" s="25" t="e">
        <f>SUM(#REF!)</f>
        <v>#REF!</v>
      </c>
      <c r="J284" s="25" t="e">
        <f>SUMIF(#REF!,'MEDIÇÃO 39'!A284,#REF!)</f>
        <v>#REF!</v>
      </c>
      <c r="K284" s="25" t="e">
        <f t="shared" si="12"/>
        <v>#REF!</v>
      </c>
      <c r="L284" s="25" t="e">
        <f>G284-K284</f>
        <v>#REF!</v>
      </c>
      <c r="M284" s="24" t="e">
        <f>ROUND(I284*H284,2)</f>
        <v>#REF!</v>
      </c>
      <c r="N284" s="21" t="e">
        <f>ROUND(J284*H284,2)</f>
        <v>#REF!</v>
      </c>
      <c r="O284" s="26" t="e">
        <f t="shared" si="13"/>
        <v>#REF!</v>
      </c>
      <c r="P284" s="26" t="e">
        <f>ROUND((G284*H284)-O284,2)</f>
        <v>#REF!</v>
      </c>
      <c r="Q284" s="85">
        <f>IFERROR(ROUND(O284/(G284*H284),2),0)</f>
        <v>0</v>
      </c>
    </row>
    <row r="285" spans="1:17" ht="133.19999999999999" x14ac:dyDescent="1.05">
      <c r="A285" s="32">
        <v>3182</v>
      </c>
      <c r="B285" s="20" t="s">
        <v>271</v>
      </c>
      <c r="C285" s="21" t="s">
        <v>277</v>
      </c>
      <c r="D285" s="22">
        <v>50</v>
      </c>
      <c r="E285" s="22"/>
      <c r="F285" s="22"/>
      <c r="G285" s="22">
        <f t="shared" si="14"/>
        <v>50</v>
      </c>
      <c r="H285" s="24" t="e">
        <f>VLOOKUP(A285,#REF!,5,0)</f>
        <v>#REF!</v>
      </c>
      <c r="I285" s="25" t="e">
        <f>SUM(#REF!)</f>
        <v>#REF!</v>
      </c>
      <c r="J285" s="25" t="e">
        <f>SUMIF(#REF!,'MEDIÇÃO 39'!A285,#REF!)</f>
        <v>#REF!</v>
      </c>
      <c r="K285" s="25" t="e">
        <f t="shared" si="12"/>
        <v>#REF!</v>
      </c>
      <c r="L285" s="25" t="e">
        <f>G285-K285</f>
        <v>#REF!</v>
      </c>
      <c r="M285" s="24" t="e">
        <f>ROUND(I285*H285,2)</f>
        <v>#REF!</v>
      </c>
      <c r="N285" s="21" t="e">
        <f>ROUND(J285*H285,2)</f>
        <v>#REF!</v>
      </c>
      <c r="O285" s="26" t="e">
        <f t="shared" si="13"/>
        <v>#REF!</v>
      </c>
      <c r="P285" s="26" t="e">
        <f>ROUND((G285*H285)-O285,2)</f>
        <v>#REF!</v>
      </c>
      <c r="Q285" s="85">
        <f>IFERROR(ROUND(O285/(G285*H285),2),0)</f>
        <v>0</v>
      </c>
    </row>
    <row r="286" spans="1:17" ht="133.19999999999999" x14ac:dyDescent="1.05">
      <c r="A286" s="32">
        <v>3183</v>
      </c>
      <c r="B286" s="20" t="s">
        <v>272</v>
      </c>
      <c r="C286" s="21" t="s">
        <v>276</v>
      </c>
      <c r="D286" s="22">
        <v>250</v>
      </c>
      <c r="E286" s="22"/>
      <c r="F286" s="22"/>
      <c r="G286" s="22">
        <f t="shared" si="14"/>
        <v>250</v>
      </c>
      <c r="H286" s="24" t="e">
        <f>VLOOKUP(A286,#REF!,5,0)</f>
        <v>#REF!</v>
      </c>
      <c r="I286" s="25" t="e">
        <f>SUM(#REF!)</f>
        <v>#REF!</v>
      </c>
      <c r="J286" s="25" t="e">
        <f>SUMIF(#REF!,'MEDIÇÃO 39'!A286,#REF!)</f>
        <v>#REF!</v>
      </c>
      <c r="K286" s="25" t="e">
        <f t="shared" si="12"/>
        <v>#REF!</v>
      </c>
      <c r="L286" s="25" t="e">
        <f>G286-K286</f>
        <v>#REF!</v>
      </c>
      <c r="M286" s="24" t="e">
        <f>ROUND(I286*H286,2)</f>
        <v>#REF!</v>
      </c>
      <c r="N286" s="21" t="e">
        <f>ROUND(J286*H286,2)</f>
        <v>#REF!</v>
      </c>
      <c r="O286" s="26" t="e">
        <f t="shared" si="13"/>
        <v>#REF!</v>
      </c>
      <c r="P286" s="26" t="e">
        <f>ROUND((G286*H286)-O286,2)</f>
        <v>#REF!</v>
      </c>
      <c r="Q286" s="85">
        <f>IFERROR(ROUND(O286/(G286*H286),2),0)</f>
        <v>0</v>
      </c>
    </row>
    <row r="287" spans="1:17" s="96" customFormat="1" ht="66.599999999999994" x14ac:dyDescent="1.05">
      <c r="A287" s="13" t="s">
        <v>2</v>
      </c>
      <c r="B287" s="14" t="s">
        <v>274</v>
      </c>
      <c r="C287" s="27"/>
      <c r="D287" s="28"/>
      <c r="E287" s="28"/>
      <c r="F287" s="28"/>
      <c r="G287" s="28"/>
      <c r="H287" s="29"/>
      <c r="I287" s="30"/>
      <c r="J287" s="28"/>
      <c r="K287" s="33"/>
      <c r="L287" s="33"/>
      <c r="M287" s="28"/>
      <c r="N287" s="28"/>
      <c r="O287" s="31"/>
      <c r="P287" s="28"/>
      <c r="Q287" s="86"/>
    </row>
    <row r="288" spans="1:17" ht="66.599999999999994" x14ac:dyDescent="1.05">
      <c r="A288" s="19" t="s">
        <v>472</v>
      </c>
      <c r="B288" s="20" t="s">
        <v>275</v>
      </c>
      <c r="C288" s="21" t="s">
        <v>283</v>
      </c>
      <c r="D288" s="22">
        <v>1000</v>
      </c>
      <c r="E288" s="22"/>
      <c r="F288" s="22">
        <v>550</v>
      </c>
      <c r="G288" s="22">
        <f t="shared" si="14"/>
        <v>1550</v>
      </c>
      <c r="H288" s="24" t="e">
        <f>VLOOKUP(A288,#REF!,5,0)</f>
        <v>#REF!</v>
      </c>
      <c r="I288" s="25" t="e">
        <f>SUM(#REF!)</f>
        <v>#REF!</v>
      </c>
      <c r="J288" s="25" t="e">
        <f>SUMIF(#REF!,'MEDIÇÃO 39'!A288,#REF!)</f>
        <v>#REF!</v>
      </c>
      <c r="K288" s="25" t="e">
        <f t="shared" si="12"/>
        <v>#REF!</v>
      </c>
      <c r="L288" s="25" t="e">
        <f>G288-K288</f>
        <v>#REF!</v>
      </c>
      <c r="M288" s="24" t="e">
        <f>ROUND(I288*H288,2)</f>
        <v>#REF!</v>
      </c>
      <c r="N288" s="21" t="e">
        <f>ROUND(J288*H288,2)</f>
        <v>#REF!</v>
      </c>
      <c r="O288" s="26" t="e">
        <f t="shared" si="13"/>
        <v>#REF!</v>
      </c>
      <c r="P288" s="26" t="e">
        <f>ROUND((G288*H288)-O288,2)</f>
        <v>#REF!</v>
      </c>
      <c r="Q288" s="85">
        <f>IFERROR(ROUND(O288/(G288*H288),2),0)</f>
        <v>0</v>
      </c>
    </row>
    <row r="289" spans="1:17" ht="130.80000000000001" x14ac:dyDescent="1.05">
      <c r="A289" s="34" t="s">
        <v>510</v>
      </c>
      <c r="B289" s="35" t="s">
        <v>511</v>
      </c>
      <c r="C289" s="36"/>
      <c r="D289" s="37"/>
      <c r="E289" s="37"/>
      <c r="F289" s="37"/>
      <c r="G289" s="37"/>
      <c r="H289" s="38"/>
      <c r="I289" s="39"/>
      <c r="J289" s="39"/>
      <c r="K289" s="39"/>
      <c r="L289" s="39"/>
      <c r="M289" s="39"/>
      <c r="N289" s="39"/>
      <c r="O289" s="39"/>
      <c r="P289" s="39"/>
      <c r="Q289" s="90"/>
    </row>
    <row r="290" spans="1:17" ht="409.6" x14ac:dyDescent="1.05">
      <c r="A290" s="40" t="s">
        <v>512</v>
      </c>
      <c r="B290" s="41" t="s">
        <v>513</v>
      </c>
      <c r="C290" s="40" t="s">
        <v>277</v>
      </c>
      <c r="D290" s="22"/>
      <c r="E290" s="22"/>
      <c r="F290" s="22">
        <v>300</v>
      </c>
      <c r="G290" s="22">
        <f t="shared" si="14"/>
        <v>300</v>
      </c>
      <c r="H290" s="24">
        <v>298.62</v>
      </c>
      <c r="I290" s="25" t="e">
        <f>SUM(#REF!)</f>
        <v>#REF!</v>
      </c>
      <c r="J290" s="25" t="e">
        <f>SUMIF(#REF!,'MEDIÇÃO 39'!A290,#REF!)</f>
        <v>#REF!</v>
      </c>
      <c r="K290" s="25" t="e">
        <f>I290+J290</f>
        <v>#REF!</v>
      </c>
      <c r="L290" s="25" t="e">
        <f>G290-K290</f>
        <v>#REF!</v>
      </c>
      <c r="M290" s="24" t="e">
        <f>ROUND(I290*H290,2)</f>
        <v>#REF!</v>
      </c>
      <c r="N290" s="21" t="e">
        <f>ROUND(J290*H290,2)</f>
        <v>#REF!</v>
      </c>
      <c r="O290" s="26" t="e">
        <f>ROUND(M290+N290,2)</f>
        <v>#REF!</v>
      </c>
      <c r="P290" s="26" t="e">
        <f>ROUND((G290*H290)-O290,2)</f>
        <v>#REF!</v>
      </c>
      <c r="Q290" s="85">
        <f>IFERROR(ROUND(O290/(G290*H290),2),0)</f>
        <v>0</v>
      </c>
    </row>
    <row r="291" spans="1:17" ht="409.6" x14ac:dyDescent="1.05">
      <c r="A291" s="40" t="s">
        <v>514</v>
      </c>
      <c r="B291" s="41" t="s">
        <v>515</v>
      </c>
      <c r="C291" s="40" t="s">
        <v>277</v>
      </c>
      <c r="D291" s="22"/>
      <c r="E291" s="22"/>
      <c r="F291" s="22">
        <v>500</v>
      </c>
      <c r="G291" s="22">
        <f t="shared" si="14"/>
        <v>500</v>
      </c>
      <c r="H291" s="24">
        <v>317.49500000000006</v>
      </c>
      <c r="I291" s="25" t="e">
        <f>SUM(#REF!)</f>
        <v>#REF!</v>
      </c>
      <c r="J291" s="25" t="e">
        <f>SUMIF(#REF!,'MEDIÇÃO 39'!A291,#REF!)</f>
        <v>#REF!</v>
      </c>
      <c r="K291" s="25" t="e">
        <f>I291+J291</f>
        <v>#REF!</v>
      </c>
      <c r="L291" s="25" t="e">
        <f>G291-K291</f>
        <v>#REF!</v>
      </c>
      <c r="M291" s="24" t="e">
        <f>ROUND(I291*H291,2)</f>
        <v>#REF!</v>
      </c>
      <c r="N291" s="21" t="e">
        <f>ROUND(J291*H291,2)</f>
        <v>#REF!</v>
      </c>
      <c r="O291" s="26" t="e">
        <f>ROUND(M291+N291,2)</f>
        <v>#REF!</v>
      </c>
      <c r="P291" s="26" t="e">
        <f>ROUND((G291*H291)-O291,2)</f>
        <v>#REF!</v>
      </c>
      <c r="Q291" s="85">
        <f>IFERROR(ROUND(O291/(G291*H291),2),0)</f>
        <v>0</v>
      </c>
    </row>
    <row r="292" spans="1:17" ht="67.8" thickBot="1" x14ac:dyDescent="1.25">
      <c r="A292" s="98" t="s">
        <v>474</v>
      </c>
      <c r="B292" s="99"/>
      <c r="C292" s="42"/>
      <c r="D292" s="43"/>
      <c r="E292" s="43"/>
      <c r="F292" s="43"/>
      <c r="G292" s="43"/>
      <c r="H292" s="44"/>
      <c r="I292" s="46" t="e">
        <f>SUM(#REF!)</f>
        <v>#REF!</v>
      </c>
      <c r="J292" s="45" t="e">
        <f>SUMIF(#REF!,'MEDIÇÃO 39'!A292,#REF!)</f>
        <v>#REF!</v>
      </c>
      <c r="K292" s="47"/>
      <c r="L292" s="48"/>
      <c r="M292" s="49" t="e">
        <f>SUM(M16:M291)</f>
        <v>#REF!</v>
      </c>
      <c r="N292" s="49" t="e">
        <f>SUM(N16:N291)</f>
        <v>#REF!</v>
      </c>
      <c r="O292" s="49" t="e">
        <f>SUM(O16:O291)</f>
        <v>#REF!</v>
      </c>
      <c r="P292" s="50"/>
      <c r="Q292" s="91"/>
    </row>
    <row r="294" spans="1:17" ht="67.8" thickBot="1" x14ac:dyDescent="1.25"/>
    <row r="295" spans="1:17" ht="67.8" thickBot="1" x14ac:dyDescent="1.25">
      <c r="A295" s="60" t="s">
        <v>487</v>
      </c>
      <c r="B295" s="61" t="s">
        <v>487</v>
      </c>
      <c r="C295" s="61" t="s">
        <v>487</v>
      </c>
      <c r="D295" s="61" t="s">
        <v>487</v>
      </c>
      <c r="E295" s="61" t="s">
        <v>487</v>
      </c>
      <c r="F295" s="61"/>
      <c r="G295" s="61" t="s">
        <v>487</v>
      </c>
      <c r="H295" s="61" t="s">
        <v>487</v>
      </c>
      <c r="I295" s="61" t="s">
        <v>487</v>
      </c>
      <c r="J295" s="61" t="s">
        <v>487</v>
      </c>
      <c r="K295" s="61" t="s">
        <v>487</v>
      </c>
      <c r="L295" s="61" t="s">
        <v>487</v>
      </c>
      <c r="M295" s="61" t="s">
        <v>487</v>
      </c>
      <c r="N295" s="61" t="s">
        <v>487</v>
      </c>
      <c r="O295" s="61" t="s">
        <v>487</v>
      </c>
      <c r="P295" s="61" t="s">
        <v>487</v>
      </c>
      <c r="Q295" s="61" t="s">
        <v>487</v>
      </c>
    </row>
  </sheetData>
  <autoFilter ref="A14:X292" xr:uid="{00000000-0009-0000-0000-000001000000}"/>
  <mergeCells count="31">
    <mergeCell ref="C12:Q12"/>
    <mergeCell ref="C10:M11"/>
    <mergeCell ref="N10:N11"/>
    <mergeCell ref="O8:Q11"/>
    <mergeCell ref="M13:Q13"/>
    <mergeCell ref="H13:H14"/>
    <mergeCell ref="F13:F14"/>
    <mergeCell ref="B7:B8"/>
    <mergeCell ref="B9:B12"/>
    <mergeCell ref="A1:A3"/>
    <mergeCell ref="B1:Q1"/>
    <mergeCell ref="B2:B3"/>
    <mergeCell ref="C2:Q3"/>
    <mergeCell ref="A4:A5"/>
    <mergeCell ref="C4:M5"/>
    <mergeCell ref="O4:Q4"/>
    <mergeCell ref="O5:Q6"/>
    <mergeCell ref="C6:M6"/>
    <mergeCell ref="B4:B5"/>
    <mergeCell ref="C7:M8"/>
    <mergeCell ref="N7:N8"/>
    <mergeCell ref="O7:Q7"/>
    <mergeCell ref="C9:M9"/>
    <mergeCell ref="A292:B292"/>
    <mergeCell ref="I13:L13"/>
    <mergeCell ref="A13:A14"/>
    <mergeCell ref="B13:B14"/>
    <mergeCell ref="C13:C14"/>
    <mergeCell ref="D13:D14"/>
    <mergeCell ref="E13:E14"/>
    <mergeCell ref="G13:G14"/>
  </mergeCells>
  <phoneticPr fontId="18" type="noConversion"/>
  <conditionalFormatting sqref="J16 J18:J102 J104:J286 J288 J290:J291">
    <cfRule type="expression" dxfId="1" priority="1">
      <formula>NOT(_xlfn.ISFORMULA($J16))</formula>
    </cfRule>
  </conditionalFormatting>
  <conditionalFormatting sqref="L1:L9 L14">
    <cfRule type="cellIs" dxfId="0" priority="2" operator="lessThan">
      <formula>0</formula>
    </cfRule>
  </conditionalFormatting>
  <pageMargins left="0.51181102362204722" right="0.51181102362204722" top="0.59055118110236227" bottom="1.0629921259842521" header="0.31496062992125984" footer="0.31496062992125984"/>
  <pageSetup paperSize="9" scale="10" fitToHeight="0" orientation="landscape" r:id="rId1"/>
  <headerFooter>
    <oddFooter>&amp;L&amp;"Calibri,Regular"&amp;14BOLETIM DE MEDIÇÃO Nº 39 
CONTRATO Nº 174/PMI-SEINFRA/2023
PERÍODO: 01/04/2026 À 30/04/2026&amp;R&amp;"-,Regular"&amp;14PÁGINA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4</vt:i4>
      </vt:variant>
    </vt:vector>
  </HeadingPairs>
  <TitlesOfParts>
    <vt:vector size="5" baseType="lpstr">
      <vt:lpstr>MEDIÇÃO 39</vt:lpstr>
      <vt:lpstr>'MEDIÇÃO 39'!Area_de_impressao</vt:lpstr>
      <vt:lpstr>'MEDIÇÃO 39'!Print_Area</vt:lpstr>
      <vt:lpstr>'MEDIÇÃO 39'!Print_Titles</vt:lpstr>
      <vt:lpstr>'MEDIÇÃO 39'!Titulos_de_impressao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LAIS CAVALCANTI DE SA NOGUEIRA</dc:creator>
  <cp:lastModifiedBy>Honson Honson</cp:lastModifiedBy>
  <cp:lastPrinted>2026-05-04T13:30:58Z</cp:lastPrinted>
  <dcterms:created xsi:type="dcterms:W3CDTF">2007-12-17T18:28:52Z</dcterms:created>
  <dcterms:modified xsi:type="dcterms:W3CDTF">2026-05-08T15:18:42Z</dcterms:modified>
</cp:coreProperties>
</file>